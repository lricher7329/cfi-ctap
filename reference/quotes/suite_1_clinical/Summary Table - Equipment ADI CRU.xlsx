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ncent Rogers\CRU\CFI 2026\"/>
    </mc:Choice>
  </mc:AlternateContent>
  <xr:revisionPtr revIDLastSave="0" documentId="13_ncr:1_{9D5AFBEA-7543-4F21-9FDF-BC8E083FCD2B}" xr6:coauthVersionLast="47" xr6:coauthVersionMax="47" xr10:uidLastSave="{00000000-0000-0000-0000-000000000000}"/>
  <bookViews>
    <workbookView xWindow="-120" yWindow="-120" windowWidth="29040" windowHeight="17640" xr2:uid="{0B4C3391-4B90-49D2-B406-C1296D271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1" l="1"/>
  <c r="H20" i="1"/>
  <c r="J20" i="1"/>
  <c r="G20" i="1"/>
  <c r="H19" i="1"/>
  <c r="J19" i="1" s="1"/>
  <c r="G19" i="1"/>
  <c r="J18" i="1"/>
  <c r="H18" i="1"/>
  <c r="G18" i="1"/>
  <c r="J17" i="1"/>
  <c r="H17" i="1"/>
  <c r="G17" i="1"/>
  <c r="J16" i="1"/>
  <c r="H16" i="1"/>
  <c r="G16" i="1"/>
  <c r="J15" i="1"/>
  <c r="H15" i="1"/>
  <c r="G15" i="1"/>
  <c r="H14" i="1"/>
  <c r="J14" i="1" s="1"/>
  <c r="G14" i="1"/>
  <c r="J13" i="1"/>
  <c r="H13" i="1"/>
  <c r="G13" i="1"/>
  <c r="J12" i="1"/>
  <c r="H12" i="1"/>
  <c r="G12" i="1"/>
  <c r="J10" i="1"/>
  <c r="J9" i="1"/>
  <c r="J8" i="1"/>
  <c r="J7" i="1"/>
  <c r="H10" i="1"/>
  <c r="H9" i="1"/>
  <c r="H8" i="1"/>
  <c r="H7" i="1"/>
  <c r="G10" i="1"/>
  <c r="G9" i="1"/>
  <c r="G8" i="1"/>
  <c r="G7" i="1"/>
  <c r="G11" i="1" l="1"/>
  <c r="H11" i="1" s="1"/>
  <c r="J11" i="1" s="1"/>
</calcChain>
</file>

<file path=xl/sharedStrings.xml><?xml version="1.0" encoding="utf-8"?>
<sst xmlns="http://schemas.openxmlformats.org/spreadsheetml/2006/main" count="58" uniqueCount="48">
  <si>
    <t>Item</t>
  </si>
  <si>
    <t>Unit Cost</t>
  </si>
  <si>
    <t xml:space="preserve">Subtotal </t>
  </si>
  <si>
    <t>GST</t>
  </si>
  <si>
    <t>Delivery</t>
  </si>
  <si>
    <t>Total</t>
  </si>
  <si>
    <t>Pharmacy Refrigerator</t>
  </si>
  <si>
    <t>Equipment List for Alberta Diabetes Institute - Clinical Research Unit</t>
  </si>
  <si>
    <t>Supplier</t>
  </si>
  <si>
    <t>Fisher Scientific</t>
  </si>
  <si>
    <t>incl.</t>
  </si>
  <si>
    <t>Mobility Specialties Inc.</t>
  </si>
  <si>
    <t>Quote No.</t>
  </si>
  <si>
    <t>Bariatric Hospital Bed w/Mattress</t>
  </si>
  <si>
    <t>Bariatric Exam Tables</t>
  </si>
  <si>
    <t>Bariatric Chairs for Exam Rooms, Reception</t>
  </si>
  <si>
    <t>Remote Monitoring (for item 1)</t>
  </si>
  <si>
    <t>Monitoring Subscription, 5y (for item 1)</t>
  </si>
  <si>
    <t>Extended Warranty, 5y (for item 1)</t>
  </si>
  <si>
    <t>2026-0113-002</t>
  </si>
  <si>
    <t>2026-0113-004</t>
  </si>
  <si>
    <t>McKesson Canada</t>
  </si>
  <si>
    <t>2026-0113-001</t>
  </si>
  <si>
    <t>Wayfair Canada</t>
  </si>
  <si>
    <t>Wall mounted Smart TVs for Dayward and Reception</t>
  </si>
  <si>
    <t>2026-0113-005</t>
  </si>
  <si>
    <t>Best Buy Canada Ltd.</t>
  </si>
  <si>
    <t>CLAR-002</t>
  </si>
  <si>
    <t>ABC Medical Imaging Solutions Inc.</t>
  </si>
  <si>
    <t>2026-0114-001</t>
  </si>
  <si>
    <t>Ultrasound for Guiding Phlebotomy</t>
  </si>
  <si>
    <t>Ultrasound-compatible vascular access task trainer arm</t>
  </si>
  <si>
    <t>Simulab Corporation</t>
  </si>
  <si>
    <t>2026-0113-003</t>
  </si>
  <si>
    <t>Vital Signs Monitor</t>
  </si>
  <si>
    <t>Baxter Canada</t>
  </si>
  <si>
    <t>HIS-001</t>
  </si>
  <si>
    <t>Refrigerator/Freezer</t>
  </si>
  <si>
    <t>Smart Appliances Canada Ltd.</t>
  </si>
  <si>
    <t>2026-003-REV1</t>
  </si>
  <si>
    <t>Electrocardiogram</t>
  </si>
  <si>
    <t>DET-001</t>
  </si>
  <si>
    <t>Bariatric Scale</t>
  </si>
  <si>
    <t>Help Medical Supplies</t>
  </si>
  <si>
    <t>No.</t>
  </si>
  <si>
    <t>350.00    (est.)</t>
  </si>
  <si>
    <t>Description</t>
  </si>
  <si>
    <t>Prepared by Vince Rogers (vince.rogers@ualberta.ca)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</si>
</sst>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43" fontId="2" fillId="0" borderId="0" xfId="1" applyFont="1"/>
    <xf numFmtId="2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wrapText="1"/>
    </xf>
    <xf numFmtId="43" fontId="5" fillId="0" borderId="7" xfId="1" applyFont="1" applyBorder="1"/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43" fontId="5" fillId="0" borderId="7" xfId="1" applyFont="1" applyBorder="1" applyAlignment="1">
      <alignment horizontal="right"/>
    </xf>
    <xf numFmtId="0" fontId="5" fillId="0" borderId="7" xfId="0" applyFont="1" applyBorder="1" applyAlignment="1">
      <alignment horizontal="right" wrapText="1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wrapText="1"/>
    </xf>
    <xf numFmtId="43" fontId="5" fillId="0" borderId="11" xfId="1" applyFont="1" applyBorder="1"/>
    <xf numFmtId="0" fontId="4" fillId="0" borderId="11" xfId="0" applyFont="1" applyBorder="1"/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3" fontId="5" fillId="0" borderId="9" xfId="1" applyNumberFormat="1" applyFont="1" applyBorder="1"/>
    <xf numFmtId="43" fontId="4" fillId="0" borderId="12" xfId="1" applyNumberFormat="1" applyFont="1" applyBorder="1"/>
    <xf numFmtId="43" fontId="2" fillId="0" borderId="2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75E7-D074-4A12-BEAF-5C37A9AA28B4}">
  <dimension ref="A1:O30"/>
  <sheetViews>
    <sheetView tabSelected="1" topLeftCell="A7" workbookViewId="0">
      <selection activeCell="V13" sqref="V13"/>
    </sheetView>
  </sheetViews>
  <sheetFormatPr defaultRowHeight="15" x14ac:dyDescent="0.25"/>
  <cols>
    <col min="1" max="1" width="5.140625" customWidth="1"/>
    <col min="2" max="2" width="15.85546875" customWidth="1"/>
    <col min="3" max="3" width="20.42578125" customWidth="1"/>
    <col min="4" max="4" width="15.85546875" customWidth="1"/>
    <col min="5" max="5" width="11.5703125" customWidth="1"/>
    <col min="6" max="6" width="5.7109375" customWidth="1"/>
    <col min="7" max="7" width="12.5703125" customWidth="1"/>
    <col min="8" max="8" width="11.28515625" customWidth="1"/>
    <col min="9" max="9" width="10.5703125" customWidth="1"/>
    <col min="10" max="10" width="12.42578125" customWidth="1"/>
  </cols>
  <sheetData>
    <row r="1" spans="1:15" ht="18.75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5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6" customHeight="1" thickBot="1" x14ac:dyDescent="0.45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1"/>
      <c r="L3" s="1"/>
      <c r="M3" s="1"/>
      <c r="N3" s="1"/>
      <c r="O3" s="1"/>
    </row>
    <row r="4" spans="1:15" ht="18.75" x14ac:dyDescent="0.3">
      <c r="A4" s="6"/>
      <c r="B4" s="7"/>
      <c r="C4" s="7"/>
      <c r="D4" s="7"/>
      <c r="E4" s="7"/>
      <c r="F4" s="7"/>
      <c r="G4" s="7"/>
      <c r="H4" s="7"/>
      <c r="I4" s="7"/>
      <c r="J4" s="8"/>
      <c r="K4" s="1"/>
      <c r="L4" s="1"/>
      <c r="M4" s="1"/>
      <c r="N4" s="1"/>
      <c r="O4" s="1"/>
    </row>
    <row r="5" spans="1:15" ht="18.75" x14ac:dyDescent="0.3">
      <c r="A5" s="9" t="s">
        <v>0</v>
      </c>
      <c r="B5" s="28" t="s">
        <v>12</v>
      </c>
      <c r="C5" s="28" t="s">
        <v>46</v>
      </c>
      <c r="D5" s="28" t="s">
        <v>8</v>
      </c>
      <c r="E5" s="28" t="s">
        <v>1</v>
      </c>
      <c r="F5" s="28" t="s">
        <v>44</v>
      </c>
      <c r="G5" s="28" t="s">
        <v>2</v>
      </c>
      <c r="H5" s="28" t="s">
        <v>3</v>
      </c>
      <c r="I5" s="28" t="s">
        <v>4</v>
      </c>
      <c r="J5" s="29" t="s">
        <v>5</v>
      </c>
      <c r="K5" s="1"/>
      <c r="L5" s="1"/>
      <c r="M5" s="1"/>
      <c r="N5" s="1"/>
      <c r="O5" s="1"/>
    </row>
    <row r="6" spans="1:15" ht="18.75" x14ac:dyDescent="0.3">
      <c r="A6" s="10"/>
      <c r="B6" s="11"/>
      <c r="C6" s="11"/>
      <c r="D6" s="11"/>
      <c r="E6" s="11"/>
      <c r="F6" s="11"/>
      <c r="G6" s="11"/>
      <c r="H6" s="11"/>
      <c r="I6" s="11"/>
      <c r="J6" s="12"/>
      <c r="K6" s="1"/>
      <c r="L6" s="1"/>
      <c r="M6" s="1"/>
      <c r="N6" s="1"/>
      <c r="O6" s="1"/>
    </row>
    <row r="7" spans="1:15" ht="32.25" x14ac:dyDescent="0.3">
      <c r="A7" s="21">
        <v>1</v>
      </c>
      <c r="B7" s="14">
        <v>116025</v>
      </c>
      <c r="C7" s="15" t="s">
        <v>6</v>
      </c>
      <c r="D7" s="15" t="s">
        <v>9</v>
      </c>
      <c r="E7" s="16">
        <v>10121.549999999999</v>
      </c>
      <c r="F7" s="13">
        <v>2</v>
      </c>
      <c r="G7" s="16">
        <f t="shared" ref="G7:G20" si="0">E7*F7</f>
        <v>20243.099999999999</v>
      </c>
      <c r="H7" s="16">
        <f>G7*0.05</f>
        <v>1012.155</v>
      </c>
      <c r="I7" s="18" t="s">
        <v>10</v>
      </c>
      <c r="J7" s="31">
        <f>G7+H7</f>
        <v>21255.254999999997</v>
      </c>
      <c r="K7" s="1"/>
      <c r="L7" s="1"/>
      <c r="M7" s="1"/>
      <c r="N7" s="1"/>
      <c r="O7" s="1"/>
    </row>
    <row r="8" spans="1:15" ht="32.25" x14ac:dyDescent="0.3">
      <c r="A8" s="21">
        <v>2</v>
      </c>
      <c r="B8" s="14">
        <v>116025</v>
      </c>
      <c r="C8" s="15" t="s">
        <v>16</v>
      </c>
      <c r="D8" s="15" t="s">
        <v>9</v>
      </c>
      <c r="E8" s="16">
        <v>1142.56</v>
      </c>
      <c r="F8" s="13">
        <v>2</v>
      </c>
      <c r="G8" s="16">
        <f t="shared" si="0"/>
        <v>2285.12</v>
      </c>
      <c r="H8" s="16">
        <f t="shared" ref="H8:H10" si="1">G8*0.05</f>
        <v>114.256</v>
      </c>
      <c r="I8" s="18" t="s">
        <v>10</v>
      </c>
      <c r="J8" s="31">
        <f>G8+H8</f>
        <v>2399.3759999999997</v>
      </c>
      <c r="K8" s="1"/>
      <c r="L8" s="1"/>
      <c r="M8" s="1"/>
      <c r="N8" s="1"/>
      <c r="O8" s="1"/>
    </row>
    <row r="9" spans="1:15" ht="48" x14ac:dyDescent="0.3">
      <c r="A9" s="21">
        <v>3</v>
      </c>
      <c r="B9" s="14">
        <v>116025</v>
      </c>
      <c r="C9" s="15" t="s">
        <v>17</v>
      </c>
      <c r="D9" s="15" t="s">
        <v>9</v>
      </c>
      <c r="E9" s="16">
        <v>1326.96</v>
      </c>
      <c r="F9" s="13">
        <v>2</v>
      </c>
      <c r="G9" s="16">
        <f t="shared" si="0"/>
        <v>2653.92</v>
      </c>
      <c r="H9" s="16">
        <f t="shared" si="1"/>
        <v>132.696</v>
      </c>
      <c r="I9" s="18" t="s">
        <v>10</v>
      </c>
      <c r="J9" s="31">
        <f>G9+H9</f>
        <v>2786.616</v>
      </c>
      <c r="K9" s="1"/>
      <c r="L9" s="1"/>
      <c r="M9" s="1"/>
      <c r="N9" s="1"/>
      <c r="O9" s="1"/>
    </row>
    <row r="10" spans="1:15" ht="32.25" x14ac:dyDescent="0.3">
      <c r="A10" s="21">
        <v>4</v>
      </c>
      <c r="B10" s="14">
        <v>116025</v>
      </c>
      <c r="C10" s="15" t="s">
        <v>18</v>
      </c>
      <c r="D10" s="15" t="s">
        <v>9</v>
      </c>
      <c r="E10" s="16">
        <v>4048.62</v>
      </c>
      <c r="F10" s="13">
        <v>2</v>
      </c>
      <c r="G10" s="16">
        <f t="shared" si="0"/>
        <v>8097.24</v>
      </c>
      <c r="H10" s="16">
        <f t="shared" si="1"/>
        <v>404.86200000000002</v>
      </c>
      <c r="I10" s="18" t="s">
        <v>10</v>
      </c>
      <c r="J10" s="31">
        <f>G10+H10</f>
        <v>8502.101999999999</v>
      </c>
      <c r="K10" s="1"/>
      <c r="L10" s="1"/>
      <c r="M10" s="1"/>
      <c r="N10" s="1"/>
      <c r="O10" s="1"/>
    </row>
    <row r="11" spans="1:15" ht="32.25" x14ac:dyDescent="0.3">
      <c r="A11" s="21">
        <v>5</v>
      </c>
      <c r="B11" s="14" t="s">
        <v>19</v>
      </c>
      <c r="C11" s="15" t="s">
        <v>13</v>
      </c>
      <c r="D11" s="15" t="s">
        <v>11</v>
      </c>
      <c r="E11" s="16">
        <v>3135.07</v>
      </c>
      <c r="F11" s="13">
        <v>3</v>
      </c>
      <c r="G11" s="16">
        <f t="shared" si="0"/>
        <v>9405.2100000000009</v>
      </c>
      <c r="H11" s="16">
        <f>G11*0.05</f>
        <v>470.26050000000009</v>
      </c>
      <c r="I11" s="18" t="s">
        <v>10</v>
      </c>
      <c r="J11" s="31">
        <f>G11+H11</f>
        <v>9875.4705000000013</v>
      </c>
      <c r="K11" s="1"/>
      <c r="L11" s="1"/>
      <c r="M11" s="1"/>
      <c r="N11" s="1"/>
      <c r="O11" s="1"/>
    </row>
    <row r="12" spans="1:15" ht="34.5" customHeight="1" x14ac:dyDescent="0.3">
      <c r="A12" s="21">
        <v>6</v>
      </c>
      <c r="B12" s="14" t="s">
        <v>20</v>
      </c>
      <c r="C12" s="15" t="s">
        <v>14</v>
      </c>
      <c r="D12" s="15" t="s">
        <v>21</v>
      </c>
      <c r="E12" s="16">
        <v>5000</v>
      </c>
      <c r="F12" s="13">
        <v>4</v>
      </c>
      <c r="G12" s="16">
        <f t="shared" si="0"/>
        <v>20000</v>
      </c>
      <c r="H12" s="16">
        <f>(G12+I12)*0.05</f>
        <v>1060</v>
      </c>
      <c r="I12" s="19">
        <v>1200</v>
      </c>
      <c r="J12" s="31">
        <f>G12+H12+I12</f>
        <v>22260</v>
      </c>
      <c r="K12" s="1"/>
      <c r="L12" s="1"/>
      <c r="M12" s="1"/>
      <c r="N12" s="1"/>
      <c r="O12" s="1"/>
    </row>
    <row r="13" spans="1:15" ht="48" x14ac:dyDescent="0.3">
      <c r="A13" s="21">
        <v>7</v>
      </c>
      <c r="B13" s="14" t="s">
        <v>22</v>
      </c>
      <c r="C13" s="15" t="s">
        <v>15</v>
      </c>
      <c r="D13" s="15" t="s">
        <v>23</v>
      </c>
      <c r="E13" s="16">
        <v>483.4</v>
      </c>
      <c r="F13" s="13">
        <v>8</v>
      </c>
      <c r="G13" s="16">
        <f t="shared" si="0"/>
        <v>3867.2</v>
      </c>
      <c r="H13" s="16">
        <f>G13*0.05</f>
        <v>193.36</v>
      </c>
      <c r="I13" s="18" t="s">
        <v>10</v>
      </c>
      <c r="J13" s="31">
        <f>G13+H13</f>
        <v>4060.56</v>
      </c>
      <c r="K13" s="1"/>
      <c r="L13" s="1"/>
      <c r="M13" s="1"/>
      <c r="N13" s="1"/>
      <c r="O13" s="1"/>
    </row>
    <row r="14" spans="1:15" ht="48" x14ac:dyDescent="0.3">
      <c r="A14" s="21">
        <v>8</v>
      </c>
      <c r="B14" s="14" t="s">
        <v>25</v>
      </c>
      <c r="C14" s="15" t="s">
        <v>24</v>
      </c>
      <c r="D14" s="15" t="s">
        <v>26</v>
      </c>
      <c r="E14" s="16">
        <v>2799.99</v>
      </c>
      <c r="F14" s="13">
        <v>4</v>
      </c>
      <c r="G14" s="16">
        <f t="shared" si="0"/>
        <v>11199.96</v>
      </c>
      <c r="H14" s="16">
        <f>(G14+I14)*0.05</f>
        <v>589.99799999999993</v>
      </c>
      <c r="I14" s="19">
        <v>600</v>
      </c>
      <c r="J14" s="31">
        <f>G14+H14+I14</f>
        <v>12389.957999999999</v>
      </c>
      <c r="K14" s="1"/>
      <c r="L14" s="1"/>
      <c r="M14" s="1"/>
      <c r="N14" s="1"/>
      <c r="O14" s="1"/>
    </row>
    <row r="15" spans="1:15" ht="48" x14ac:dyDescent="0.3">
      <c r="A15" s="21">
        <v>9</v>
      </c>
      <c r="B15" s="14" t="s">
        <v>27</v>
      </c>
      <c r="C15" s="15" t="s">
        <v>30</v>
      </c>
      <c r="D15" s="15" t="s">
        <v>28</v>
      </c>
      <c r="E15" s="16">
        <v>7105</v>
      </c>
      <c r="F15" s="13">
        <v>1</v>
      </c>
      <c r="G15" s="16">
        <f t="shared" si="0"/>
        <v>7105</v>
      </c>
      <c r="H15" s="16">
        <f>(G15+I15)*0.05</f>
        <v>362.75</v>
      </c>
      <c r="I15" s="19">
        <v>150</v>
      </c>
      <c r="J15" s="31">
        <f>G15+H15+I15</f>
        <v>7617.75</v>
      </c>
      <c r="K15" s="1"/>
      <c r="L15" s="1"/>
      <c r="M15" s="1"/>
      <c r="N15" s="1"/>
      <c r="O15" s="1"/>
    </row>
    <row r="16" spans="1:15" ht="63.75" x14ac:dyDescent="0.3">
      <c r="A16" s="21">
        <v>10</v>
      </c>
      <c r="B16" s="14" t="s">
        <v>29</v>
      </c>
      <c r="C16" s="15" t="s">
        <v>31</v>
      </c>
      <c r="D16" s="15" t="s">
        <v>32</v>
      </c>
      <c r="E16" s="16">
        <v>5399</v>
      </c>
      <c r="F16" s="13">
        <v>1</v>
      </c>
      <c r="G16" s="16">
        <f t="shared" si="0"/>
        <v>5399</v>
      </c>
      <c r="H16" s="16">
        <f>(G16+350)*0.05</f>
        <v>287.45</v>
      </c>
      <c r="I16" s="20" t="s">
        <v>45</v>
      </c>
      <c r="J16" s="31">
        <f>G16+H16+350</f>
        <v>6036.45</v>
      </c>
      <c r="K16" s="1"/>
      <c r="L16" s="1"/>
      <c r="M16" s="1"/>
      <c r="N16" s="1"/>
      <c r="O16" s="1"/>
    </row>
    <row r="17" spans="1:15" ht="18.75" x14ac:dyDescent="0.3">
      <c r="A17" s="21">
        <v>11</v>
      </c>
      <c r="B17" s="14" t="s">
        <v>33</v>
      </c>
      <c r="C17" s="15" t="s">
        <v>34</v>
      </c>
      <c r="D17" s="15" t="s">
        <v>35</v>
      </c>
      <c r="E17" s="16">
        <v>4200</v>
      </c>
      <c r="F17" s="13">
        <v>4</v>
      </c>
      <c r="G17" s="16">
        <f t="shared" si="0"/>
        <v>16800</v>
      </c>
      <c r="H17" s="16">
        <f>(G17+I17)*0.05</f>
        <v>870</v>
      </c>
      <c r="I17" s="19">
        <v>600</v>
      </c>
      <c r="J17" s="31">
        <f>G17+H17+I17</f>
        <v>18270</v>
      </c>
      <c r="K17" s="1"/>
      <c r="L17" s="1"/>
      <c r="M17" s="1"/>
      <c r="N17" s="1"/>
      <c r="O17" s="1"/>
    </row>
    <row r="18" spans="1:15" ht="32.25" x14ac:dyDescent="0.3">
      <c r="A18" s="21">
        <v>12</v>
      </c>
      <c r="B18" s="14" t="s">
        <v>36</v>
      </c>
      <c r="C18" s="15" t="s">
        <v>37</v>
      </c>
      <c r="D18" s="15" t="s">
        <v>38</v>
      </c>
      <c r="E18" s="16">
        <v>749.99</v>
      </c>
      <c r="F18" s="13">
        <v>1</v>
      </c>
      <c r="G18" s="16">
        <f t="shared" si="0"/>
        <v>749.99</v>
      </c>
      <c r="H18" s="16">
        <f>(G18+I18)*0.05</f>
        <v>44.999500000000005</v>
      </c>
      <c r="I18" s="19">
        <v>150</v>
      </c>
      <c r="J18" s="31">
        <f>G18+H18+I18</f>
        <v>944.98950000000002</v>
      </c>
      <c r="K18" s="1"/>
      <c r="L18" s="1"/>
      <c r="M18" s="1"/>
      <c r="N18" s="1"/>
      <c r="O18" s="1"/>
    </row>
    <row r="19" spans="1:15" ht="18.75" x14ac:dyDescent="0.3">
      <c r="A19" s="21">
        <v>13</v>
      </c>
      <c r="B19" s="14" t="s">
        <v>39</v>
      </c>
      <c r="C19" s="15" t="s">
        <v>40</v>
      </c>
      <c r="D19" s="15" t="s">
        <v>35</v>
      </c>
      <c r="E19" s="16">
        <v>6307.65</v>
      </c>
      <c r="F19" s="13">
        <v>1</v>
      </c>
      <c r="G19" s="16">
        <f t="shared" si="0"/>
        <v>6307.65</v>
      </c>
      <c r="H19" s="16">
        <f>(G19+I19)*0.05</f>
        <v>330.38249999999999</v>
      </c>
      <c r="I19" s="19">
        <v>300</v>
      </c>
      <c r="J19" s="31">
        <f>G19+H19+I19</f>
        <v>6938.0324999999993</v>
      </c>
      <c r="K19" s="1"/>
      <c r="L19" s="1"/>
      <c r="M19" s="1"/>
      <c r="N19" s="1"/>
      <c r="O19" s="1"/>
    </row>
    <row r="20" spans="1:15" ht="32.25" x14ac:dyDescent="0.3">
      <c r="A20" s="21">
        <v>14</v>
      </c>
      <c r="B20" s="14" t="s">
        <v>41</v>
      </c>
      <c r="C20" s="15" t="s">
        <v>42</v>
      </c>
      <c r="D20" s="15" t="s">
        <v>43</v>
      </c>
      <c r="E20" s="16">
        <v>4512.04</v>
      </c>
      <c r="F20" s="13">
        <v>1</v>
      </c>
      <c r="G20" s="16">
        <f t="shared" si="0"/>
        <v>4512.04</v>
      </c>
      <c r="H20" s="16">
        <f>(G20+I20)*0.05</f>
        <v>233.102</v>
      </c>
      <c r="I20" s="19">
        <v>150</v>
      </c>
      <c r="J20" s="31">
        <f>G20+H20+I20</f>
        <v>4895.1419999999998</v>
      </c>
      <c r="K20" s="1"/>
      <c r="L20" s="1"/>
      <c r="M20" s="1"/>
      <c r="N20" s="1"/>
      <c r="O20" s="1"/>
    </row>
    <row r="21" spans="1:15" ht="18.75" x14ac:dyDescent="0.3">
      <c r="A21" s="22"/>
      <c r="B21" s="13"/>
      <c r="C21" s="15"/>
      <c r="D21" s="15"/>
      <c r="E21" s="16"/>
      <c r="F21" s="13"/>
      <c r="G21" s="16"/>
      <c r="H21" s="16"/>
      <c r="I21" s="17"/>
      <c r="J21" s="31"/>
      <c r="K21" s="1"/>
      <c r="L21" s="1"/>
      <c r="M21" s="1"/>
      <c r="N21" s="1"/>
      <c r="O21" s="1"/>
    </row>
    <row r="22" spans="1:15" ht="19.5" thickBot="1" x14ac:dyDescent="0.35">
      <c r="A22" s="23"/>
      <c r="B22" s="24"/>
      <c r="C22" s="25"/>
      <c r="D22" s="25"/>
      <c r="E22" s="26"/>
      <c r="F22" s="24"/>
      <c r="G22" s="26"/>
      <c r="H22" s="26"/>
      <c r="I22" s="27" t="s">
        <v>5</v>
      </c>
      <c r="J22" s="32">
        <f>SUM(J7:J20)</f>
        <v>128231.7015</v>
      </c>
      <c r="K22" s="1"/>
      <c r="L22" s="1"/>
      <c r="M22" s="1"/>
      <c r="N22" s="1"/>
      <c r="O22" s="1"/>
    </row>
    <row r="23" spans="1:15" ht="18.75" x14ac:dyDescent="0.3">
      <c r="B23" s="5"/>
      <c r="C23" s="4"/>
      <c r="D23" s="4"/>
      <c r="E23" s="33" t="s">
        <v>47</v>
      </c>
      <c r="F23" s="33"/>
      <c r="G23" s="33"/>
      <c r="H23" s="33"/>
      <c r="I23" s="33"/>
      <c r="J23" s="33"/>
      <c r="K23" s="1"/>
      <c r="L23" s="1"/>
      <c r="M23" s="1"/>
      <c r="N23" s="1"/>
      <c r="O23" s="1"/>
    </row>
    <row r="24" spans="1:15" ht="18.75" x14ac:dyDescent="0.3">
      <c r="B24" s="5"/>
      <c r="C24" s="4"/>
      <c r="D24" s="4"/>
      <c r="E24" s="2"/>
      <c r="F24" s="1"/>
      <c r="G24" s="2"/>
      <c r="H24" s="2"/>
      <c r="I24" s="1"/>
      <c r="J24" s="2"/>
      <c r="K24" s="1"/>
      <c r="L24" s="1"/>
      <c r="M24" s="1"/>
      <c r="N24" s="1"/>
      <c r="O24" s="1"/>
    </row>
    <row r="25" spans="1:15" ht="18.75" x14ac:dyDescent="0.3">
      <c r="B25" s="5"/>
      <c r="C25" s="4"/>
      <c r="D25" s="4"/>
      <c r="E25" s="2"/>
      <c r="F25" s="1"/>
      <c r="G25" s="2"/>
      <c r="H25" s="2"/>
      <c r="I25" s="1"/>
      <c r="J25" s="2"/>
      <c r="K25" s="1"/>
      <c r="L25" s="1"/>
      <c r="M25" s="1"/>
      <c r="N25" s="1"/>
      <c r="O25" s="1"/>
    </row>
    <row r="26" spans="1:15" ht="18.75" x14ac:dyDescent="0.3">
      <c r="B26" s="5"/>
      <c r="C26" s="4"/>
      <c r="D26" s="4"/>
      <c r="E26" s="2"/>
      <c r="F26" s="1"/>
      <c r="G26" s="3"/>
      <c r="H26" s="2"/>
      <c r="I26" s="1"/>
      <c r="J26" s="2"/>
      <c r="K26" s="1"/>
      <c r="L26" s="1"/>
      <c r="M26" s="1"/>
      <c r="N26" s="1"/>
      <c r="O26" s="1"/>
    </row>
    <row r="27" spans="1:15" ht="18.75" x14ac:dyDescent="0.3">
      <c r="B27" s="5"/>
      <c r="C27" s="4"/>
      <c r="D27" s="4"/>
      <c r="E27" s="2"/>
      <c r="F27" s="1"/>
      <c r="G27" s="1"/>
      <c r="H27" s="2"/>
      <c r="I27" s="1"/>
      <c r="J27" s="2"/>
      <c r="K27" s="1"/>
      <c r="L27" s="1"/>
      <c r="M27" s="1"/>
      <c r="N27" s="1"/>
      <c r="O27" s="1"/>
    </row>
    <row r="28" spans="1:15" ht="18.75" x14ac:dyDescent="0.3">
      <c r="B28" s="5"/>
      <c r="C28" s="4"/>
      <c r="D28" s="4"/>
      <c r="E28" s="2"/>
      <c r="F28" s="1"/>
      <c r="G28" s="1"/>
      <c r="H28" s="2"/>
      <c r="I28" s="1"/>
      <c r="J28" s="1"/>
      <c r="K28" s="1"/>
      <c r="L28" s="1"/>
      <c r="M28" s="1"/>
      <c r="N28" s="1"/>
      <c r="O28" s="1"/>
    </row>
    <row r="29" spans="1:15" ht="18.75" x14ac:dyDescent="0.3">
      <c r="B29" s="5"/>
      <c r="C29" s="4"/>
      <c r="D29" s="4"/>
      <c r="E29" s="2"/>
      <c r="F29" s="1"/>
      <c r="G29" s="1"/>
      <c r="H29" s="2"/>
      <c r="I29" s="1"/>
      <c r="J29" s="1"/>
      <c r="K29" s="1"/>
      <c r="L29" s="1"/>
      <c r="M29" s="1"/>
      <c r="N29" s="1"/>
      <c r="O29" s="1"/>
    </row>
    <row r="30" spans="1:15" ht="18.75" x14ac:dyDescent="0.3">
      <c r="B30" s="5"/>
      <c r="C30" s="4"/>
      <c r="D30" s="4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mergeCells count="2">
    <mergeCell ref="A3:J3"/>
    <mergeCell ref="E23:J2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Rogers</dc:creator>
  <cp:lastModifiedBy>Vincent Rogers</cp:lastModifiedBy>
  <cp:lastPrinted>2026-01-15T18:26:51Z</cp:lastPrinted>
  <dcterms:created xsi:type="dcterms:W3CDTF">2026-01-13T23:16:33Z</dcterms:created>
  <dcterms:modified xsi:type="dcterms:W3CDTF">2026-01-15T21:46:47Z</dcterms:modified>
</cp:coreProperties>
</file>