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lody\Downloads\"/>
    </mc:Choice>
  </mc:AlternateContent>
  <workbookProtection workbookAlgorithmName="SHA-512" workbookHashValue="c8qzOhinmwYVPJreUVmKn6s6Isd1iOdLtYBupLSRk6Kjr22lrvwt9TFHArFe+BSlgjoHufR1C0m+Wk8UgKew7g==" workbookSaltValue="YBF3QHObpHUYid2WJ9JbeQ==" workbookSpinCount="100000" lockStructure="1"/>
  <bookViews>
    <workbookView xWindow="0" yWindow="0" windowWidth="28800" windowHeight="12330"/>
  </bookViews>
  <sheets>
    <sheet name="RTA Budget - Costs and Revenues" sheetId="1" r:id="rId1"/>
  </sheets>
  <calcPr calcId="162913"/>
  <extLst>
    <ext uri="GoogleSheetsCustomDataVersion2">
      <go:sheetsCustomData xmlns:go="http://customooxmlschemas.google.com/" r:id="rId5" roundtripDataChecksum="neFFjqS/YwcM+r7yhLEpwrqEnWKt0yswLIK1uZsEc24="/>
    </ext>
  </extLst>
</workbook>
</file>

<file path=xl/calcChain.xml><?xml version="1.0" encoding="utf-8"?>
<calcChain xmlns="http://schemas.openxmlformats.org/spreadsheetml/2006/main">
  <c r="M59" i="1" l="1"/>
  <c r="C58" i="1" s="1"/>
  <c r="D56" i="1"/>
  <c r="I47" i="1"/>
  <c r="G47" i="1"/>
  <c r="F47" i="1"/>
  <c r="E47" i="1"/>
  <c r="M46" i="1"/>
  <c r="H46" i="1"/>
  <c r="K46" i="1" s="1"/>
  <c r="L46" i="1" s="1"/>
  <c r="M45" i="1"/>
  <c r="H45" i="1"/>
  <c r="K45" i="1" s="1"/>
  <c r="L45" i="1" s="1"/>
  <c r="M44" i="1"/>
  <c r="H44" i="1"/>
  <c r="K44" i="1" s="1"/>
  <c r="L44" i="1" s="1"/>
  <c r="N44" i="1" s="1"/>
  <c r="M43" i="1"/>
  <c r="H43" i="1"/>
  <c r="J43" i="1" s="1"/>
  <c r="M42" i="1"/>
  <c r="H42" i="1"/>
  <c r="K42" i="1" s="1"/>
  <c r="L42" i="1" s="1"/>
  <c r="M41" i="1"/>
  <c r="H41" i="1"/>
  <c r="K41" i="1" s="1"/>
  <c r="L41" i="1" s="1"/>
  <c r="M40" i="1"/>
  <c r="H40" i="1"/>
  <c r="K40" i="1" s="1"/>
  <c r="L40" i="1" s="1"/>
  <c r="M39" i="1"/>
  <c r="H39" i="1"/>
  <c r="K39" i="1" s="1"/>
  <c r="L39" i="1" s="1"/>
  <c r="M38" i="1"/>
  <c r="H38" i="1"/>
  <c r="K38" i="1" s="1"/>
  <c r="L38" i="1" s="1"/>
  <c r="M37" i="1"/>
  <c r="H37" i="1"/>
  <c r="K37" i="1" s="1"/>
  <c r="L37" i="1" s="1"/>
  <c r="M36" i="1"/>
  <c r="H36" i="1"/>
  <c r="K36" i="1" s="1"/>
  <c r="L36" i="1" s="1"/>
  <c r="M35" i="1"/>
  <c r="H35" i="1"/>
  <c r="K35" i="1" s="1"/>
  <c r="L35" i="1" s="1"/>
  <c r="M34" i="1"/>
  <c r="H34" i="1"/>
  <c r="K34" i="1" s="1"/>
  <c r="L34" i="1" s="1"/>
  <c r="M33" i="1"/>
  <c r="H33" i="1"/>
  <c r="K33" i="1" s="1"/>
  <c r="L33" i="1" s="1"/>
  <c r="M32" i="1"/>
  <c r="H32" i="1"/>
  <c r="K32" i="1" s="1"/>
  <c r="L32" i="1" s="1"/>
  <c r="M31" i="1"/>
  <c r="H31" i="1"/>
  <c r="K31" i="1" s="1"/>
  <c r="L31" i="1" s="1"/>
  <c r="N31" i="1" s="1"/>
  <c r="M30" i="1"/>
  <c r="H30" i="1"/>
  <c r="K30" i="1" s="1"/>
  <c r="L30" i="1" s="1"/>
  <c r="M29" i="1"/>
  <c r="H29" i="1"/>
  <c r="K29" i="1" s="1"/>
  <c r="L29" i="1" s="1"/>
  <c r="M28" i="1"/>
  <c r="H28" i="1"/>
  <c r="K28" i="1" s="1"/>
  <c r="L28" i="1" s="1"/>
  <c r="M27" i="1"/>
  <c r="H27" i="1"/>
  <c r="K27" i="1" s="1"/>
  <c r="L27" i="1" s="1"/>
  <c r="M26" i="1"/>
  <c r="H26" i="1"/>
  <c r="K26" i="1" s="1"/>
  <c r="L26" i="1" s="1"/>
  <c r="N26" i="1" s="1"/>
  <c r="M25" i="1"/>
  <c r="J25" i="1"/>
  <c r="H25" i="1"/>
  <c r="K25" i="1" s="1"/>
  <c r="L25" i="1" s="1"/>
  <c r="N25" i="1" s="1"/>
  <c r="M24" i="1"/>
  <c r="H24" i="1"/>
  <c r="K24" i="1" s="1"/>
  <c r="L24" i="1" s="1"/>
  <c r="N24" i="1" s="1"/>
  <c r="M23" i="1"/>
  <c r="J23" i="1"/>
  <c r="H23" i="1"/>
  <c r="K23" i="1" s="1"/>
  <c r="L23" i="1" s="1"/>
  <c r="N23" i="1" s="1"/>
  <c r="M22" i="1"/>
  <c r="H22" i="1"/>
  <c r="J22" i="1" s="1"/>
  <c r="M21" i="1"/>
  <c r="J21" i="1"/>
  <c r="H21" i="1"/>
  <c r="K21" i="1" s="1"/>
  <c r="L21" i="1" s="1"/>
  <c r="M20" i="1"/>
  <c r="H20" i="1"/>
  <c r="K20" i="1" s="1"/>
  <c r="L20" i="1" s="1"/>
  <c r="N20" i="1" s="1"/>
  <c r="M19" i="1"/>
  <c r="J19" i="1"/>
  <c r="H19" i="1"/>
  <c r="K19" i="1" s="1"/>
  <c r="L19" i="1" s="1"/>
  <c r="N19" i="1" s="1"/>
  <c r="M18" i="1"/>
  <c r="H18" i="1"/>
  <c r="K18" i="1" s="1"/>
  <c r="L18" i="1" s="1"/>
  <c r="N18" i="1" s="1"/>
  <c r="M17" i="1"/>
  <c r="J17" i="1"/>
  <c r="H17" i="1"/>
  <c r="K17" i="1" s="1"/>
  <c r="L17" i="1" s="1"/>
  <c r="N17" i="1" s="1"/>
  <c r="M16" i="1"/>
  <c r="H16" i="1"/>
  <c r="K16" i="1" s="1"/>
  <c r="L16" i="1" s="1"/>
  <c r="N16" i="1" s="1"/>
  <c r="M15" i="1"/>
  <c r="J15" i="1"/>
  <c r="H15" i="1"/>
  <c r="K15" i="1" s="1"/>
  <c r="L15" i="1" s="1"/>
  <c r="N15" i="1" s="1"/>
  <c r="M14" i="1"/>
  <c r="H14" i="1"/>
  <c r="K14" i="1" s="1"/>
  <c r="L14" i="1" s="1"/>
  <c r="N14" i="1" s="1"/>
  <c r="M13" i="1"/>
  <c r="J13" i="1"/>
  <c r="H13" i="1"/>
  <c r="K13" i="1" s="1"/>
  <c r="L13" i="1" s="1"/>
  <c r="N13" i="1" s="1"/>
  <c r="M12" i="1"/>
  <c r="H12" i="1"/>
  <c r="K12" i="1" s="1"/>
  <c r="L12" i="1" s="1"/>
  <c r="N12" i="1" s="1"/>
  <c r="M11" i="1"/>
  <c r="H11" i="1"/>
  <c r="K11" i="1" s="1"/>
  <c r="L11" i="1" s="1"/>
  <c r="N11" i="1" s="1"/>
  <c r="M10" i="1"/>
  <c r="H10" i="1"/>
  <c r="K10" i="1" s="1"/>
  <c r="L10" i="1" s="1"/>
  <c r="N10" i="1" s="1"/>
  <c r="M9" i="1"/>
  <c r="J9" i="1"/>
  <c r="H9" i="1"/>
  <c r="K9" i="1" s="1"/>
  <c r="L9" i="1" s="1"/>
  <c r="N9" i="1" s="1"/>
  <c r="M8" i="1"/>
  <c r="H8" i="1"/>
  <c r="K8" i="1" s="1"/>
  <c r="L8" i="1" s="1"/>
  <c r="N8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M7" i="1"/>
  <c r="J7" i="1"/>
  <c r="H7" i="1"/>
  <c r="J11" i="1" l="1"/>
  <c r="N21" i="1"/>
  <c r="N28" i="1"/>
  <c r="N35" i="1"/>
  <c r="N42" i="1"/>
  <c r="N46" i="1"/>
  <c r="K43" i="1"/>
  <c r="L43" i="1" s="1"/>
  <c r="N43" i="1" s="1"/>
  <c r="N29" i="1"/>
  <c r="N32" i="1"/>
  <c r="N39" i="1"/>
  <c r="N27" i="1"/>
  <c r="N34" i="1"/>
  <c r="N41" i="1"/>
  <c r="J41" i="1"/>
  <c r="J29" i="1"/>
  <c r="J27" i="1"/>
  <c r="N33" i="1"/>
  <c r="N40" i="1"/>
  <c r="N45" i="1"/>
  <c r="N30" i="1"/>
  <c r="N37" i="1"/>
  <c r="M47" i="1"/>
  <c r="C57" i="1" s="1"/>
  <c r="J39" i="1"/>
  <c r="J35" i="1"/>
  <c r="J31" i="1"/>
  <c r="J45" i="1"/>
  <c r="N36" i="1"/>
  <c r="J37" i="1"/>
  <c r="H47" i="1"/>
  <c r="J47" i="1" s="1"/>
  <c r="J33" i="1"/>
  <c r="N38" i="1"/>
  <c r="J8" i="1"/>
  <c r="J14" i="1"/>
  <c r="J18" i="1"/>
  <c r="J24" i="1"/>
  <c r="J28" i="1"/>
  <c r="J32" i="1"/>
  <c r="J36" i="1"/>
  <c r="J40" i="1"/>
  <c r="J44" i="1"/>
  <c r="K22" i="1"/>
  <c r="L22" i="1" s="1"/>
  <c r="N22" i="1" s="1"/>
  <c r="J10" i="1"/>
  <c r="J12" i="1"/>
  <c r="J16" i="1"/>
  <c r="J20" i="1"/>
  <c r="J26" i="1"/>
  <c r="J30" i="1"/>
  <c r="J34" i="1"/>
  <c r="J38" i="1"/>
  <c r="J42" i="1"/>
  <c r="J46" i="1"/>
  <c r="K7" i="1"/>
  <c r="L7" i="1" l="1"/>
  <c r="K47" i="1"/>
  <c r="N7" i="1" l="1"/>
  <c r="N47" i="1" s="1"/>
  <c r="C49" i="1" s="1"/>
  <c r="L47" i="1"/>
  <c r="C54" i="1" l="1"/>
  <c r="C55" i="1" l="1"/>
  <c r="C56" i="1" s="1"/>
  <c r="D57" i="1"/>
  <c r="D58" i="1"/>
  <c r="C59" i="1" l="1"/>
</calcChain>
</file>

<file path=xl/sharedStrings.xml><?xml version="1.0" encoding="utf-8"?>
<sst xmlns="http://schemas.openxmlformats.org/spreadsheetml/2006/main" count="48" uniqueCount="46">
  <si>
    <t>Currency and Exchange Rate</t>
  </si>
  <si>
    <t>Cost Calculation</t>
  </si>
  <si>
    <t>Cost Adjustments for GST &amp; Exchange rate</t>
  </si>
  <si>
    <t>Total Project Cost Calculation</t>
  </si>
  <si>
    <t>Line Item Number</t>
  </si>
  <si>
    <t>Item Description 
Each Line should include a "whole" piece of equipment.  E.g. if you are purchasing a microscope with filters and other accessories, roll it up into one line. If there are items on the quotation that you do not intend to purchase, make a note of that on the quote that you upload.</t>
  </si>
  <si>
    <t>List Price</t>
  </si>
  <si>
    <t>Normal discount (if not offered, enter 0)</t>
  </si>
  <si>
    <t>Educational Discount (if not offered, enter 0)</t>
  </si>
  <si>
    <t>Fair Market Value (Educational Price before CFI in-kind contribution)</t>
  </si>
  <si>
    <t>CFI In-kind contribution (if not offered, enter 0)</t>
  </si>
  <si>
    <t>CFI contribution %</t>
  </si>
  <si>
    <t>CFI price (net cash)</t>
  </si>
  <si>
    <t>Cash Cost (including exchange rate adjustment and 5% GST)</t>
  </si>
  <si>
    <t>In-kind contribution (exchange rate adjustment)</t>
  </si>
  <si>
    <t>Total item cost
(Cash Cost + in-kind including all adjustments and contingency)</t>
  </si>
  <si>
    <t>TOTALS</t>
  </si>
  <si>
    <t>Renovation contingency of 13% of Total Project Cost:</t>
  </si>
  <si>
    <t>Table 2: Summary of Funding Sources (Revenue)</t>
  </si>
  <si>
    <t>Table 3: Other Eligible Funding Sources</t>
  </si>
  <si>
    <t>Do not enter data in this table - it populates automatically from the other tables.</t>
  </si>
  <si>
    <t>Amounts entered here will appear in "Other Funding Sources" in Table 2</t>
  </si>
  <si>
    <t xml:space="preserve">
</t>
  </si>
  <si>
    <t>% of Total 
Project Cost</t>
  </si>
  <si>
    <t>Sponsor Name or speedcode
**Note that Tri-Agency funds are not eligible to match to CFI</t>
  </si>
  <si>
    <t>Amount</t>
  </si>
  <si>
    <t>Total Project Cost (incl. renovation contingency)</t>
  </si>
  <si>
    <t>Estimated CFI envelope request</t>
  </si>
  <si>
    <t>Set at 40%</t>
  </si>
  <si>
    <t>Government of Alberta match</t>
  </si>
  <si>
    <t>Estimated In-kind contributions</t>
  </si>
  <si>
    <t>Aiming for 20%</t>
  </si>
  <si>
    <t xml:space="preserve">Other Funding Sources </t>
  </si>
  <si>
    <t>If 20% in-kind is not reached, additional funding is needed.</t>
  </si>
  <si>
    <t>*Balance</t>
  </si>
  <si>
    <t>Use Table 3 to list additional funding.</t>
  </si>
  <si>
    <t>TOTAL</t>
  </si>
  <si>
    <r>
      <rPr>
        <sz val="11"/>
        <color rgb="FF000000"/>
        <rFont val="Calibri"/>
        <family val="2"/>
      </rPr>
      <t xml:space="preserve">If the </t>
    </r>
    <r>
      <rPr>
        <b/>
        <sz val="11"/>
        <color rgb="FF000000"/>
        <rFont val="Calibri"/>
        <family val="2"/>
      </rPr>
      <t>*Balance</t>
    </r>
    <r>
      <rPr>
        <sz val="11"/>
        <color rgb="FF000000"/>
        <rFont val="Calibri"/>
        <family val="2"/>
      </rPr>
      <t xml:space="preserve"> is positive, there is a funding shortfall and additional eligible funding must be brought to the project. Please enter other funding sources in Table 3 to bring balance to $0.</t>
    </r>
  </si>
  <si>
    <t>CFI IF2027 RTA Budget</t>
  </si>
  <si>
    <t>Table 1: Infrastructure Budget
Note: A separate Operation and Maintenance (O&amp;M) budget will be developed later if your RTA is approved.</t>
  </si>
  <si>
    <t>Requested Infrastructure</t>
  </si>
  <si>
    <t>Last Updated
August 2025</t>
  </si>
  <si>
    <t>Currency 
(e.g., CAD, USD, EURO, etc.)</t>
  </si>
  <si>
    <t>Exchange Rate
(use 1 for CAD, 1.5 for USD) Other currencies: consult RAS-IP</t>
  </si>
  <si>
    <r>
      <t xml:space="preserve">If you have any questions about how to use this template, please contact Research Administrative Service, Institutional Programs (RAS-IP) at </t>
    </r>
    <r>
      <rPr>
        <b/>
        <sz val="11"/>
        <color rgb="FF0070C0"/>
        <rFont val="Calibri"/>
        <family val="2"/>
      </rPr>
      <t>rsoinnov@ualberta.ca.</t>
    </r>
  </si>
  <si>
    <r>
      <t xml:space="preserve">INSTRUCTIONS:  
</t>
    </r>
    <r>
      <rPr>
        <b/>
        <sz val="14"/>
        <rFont val="Calibri"/>
        <family val="2"/>
      </rPr>
      <t xml:space="preserve">Only enter data in the </t>
    </r>
    <r>
      <rPr>
        <b/>
        <u/>
        <sz val="14"/>
        <color theme="9" tint="0.39997558519241921"/>
        <rFont val="Calibri"/>
        <family val="2"/>
      </rPr>
      <t>green</t>
    </r>
    <r>
      <rPr>
        <b/>
        <sz val="14"/>
        <rFont val="Calibri"/>
        <family val="2"/>
      </rPr>
      <t xml:space="preserve"> cells. All other cells have been locked to preserve the formulas. If you have any questions about how to use this template, contact rsoinnov@ualberta.ca.</t>
    </r>
    <r>
      <rPr>
        <b/>
        <sz val="14"/>
        <color rgb="FF000000"/>
        <rFont val="Calibri"/>
        <family val="2"/>
      </rPr>
      <t xml:space="preserve">
1. Download an Excel copy of this spreadsheet, and name it according to the convention "UofA PI last name_Budget_YYYY-MM-DD". It is </t>
    </r>
    <r>
      <rPr>
        <b/>
        <u/>
        <sz val="14"/>
        <color rgb="FF000000"/>
        <rFont val="Calibri"/>
        <family val="2"/>
      </rPr>
      <t>not</t>
    </r>
    <r>
      <rPr>
        <b/>
        <sz val="14"/>
        <color rgb="FF000000"/>
        <rFont val="Calibri"/>
        <family val="2"/>
      </rPr>
      <t xml:space="preserve"> recommended that you complete this budget as a Google Sheet.
2. Enter budget line items and pricing in Table 1.</t>
    </r>
    <r>
      <rPr>
        <b/>
        <sz val="14"/>
        <color rgb="FF000000"/>
        <rFont val="Calibri"/>
        <family val="2"/>
      </rPr>
      <t xml:space="preserve"> Verify that the currency and exchange rate are correct for each line based on your quotes.</t>
    </r>
    <r>
      <rPr>
        <b/>
        <sz val="14"/>
        <color rgb="FF000000"/>
        <rFont val="Calibri"/>
        <family val="2"/>
      </rPr>
      <t xml:space="preserve">
3. A contingency of 13% of the Total Project Cost will be added to provide a cushion for any renovations* to the research space identified as necessary by UofA Project Management Office during application development. 
4. Table 2 will autopopulate based on information added in Table 1. Once all items have been entered in Table 1, check the BALANCE showing in Table 2 (yellow cells). If this number is POSITIVE, there is a cash shortfall, and additional eligible funding must be committed to the project.
5. Enter the source of additional funding in Table 3 to reduce the BALANCE (yellow) to $0.
*Renovation estimates from Facilities &amp; Operations are not required at RTA stage. A gross estimate for renovation costs is calculated automatically in this form. After the RTA is approved, Facilities &amp; Operations will reach out to you to begin the process of preparation of the "Renovations Estimate" document needed for the application.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</si>
</sst>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.00_);_(&quot;$&quot;* \(#,##0.00\);_(&quot;$&quot;* &quot;-&quot;??_);_(@_)"/>
    <numFmt numFmtId="165" formatCode="0.0"/>
    <numFmt numFmtId="166" formatCode="_(&quot;$&quot;* #,##0_);_(&quot;$&quot;* \(#,##0\);_(&quot;$&quot;* &quot;-&quot;??_);_(@_)"/>
    <numFmt numFmtId="167" formatCode="_-* #,##0.00_-;\-* #,##0.00_-;_-* &quot;-&quot;??_-;_-@"/>
    <numFmt numFmtId="168" formatCode="_-&quot;$&quot;* #,##0_-;\-&quot;$&quot;* #,##0_-;_-&quot;$&quot;* &quot;-&quot;?_-;_-@"/>
    <numFmt numFmtId="169" formatCode="_-&quot;$&quot;* #,##0_-;\-&quot;$&quot;* #,##0_-;_-&quot;$&quot;* &quot;-&quot;??_-;_-@"/>
    <numFmt numFmtId="170" formatCode="_-&quot;$&quot;* #,##0.00_-;\-&quot;$&quot;* #,##0.00_-;_-&quot;$&quot;* &quot;-&quot;??_-;_-@"/>
  </numFmts>
  <fonts count="30" x14ac:knownFonts="1">
    <font>
      <sz val="11"/>
      <color rgb="FF000000"/>
      <name val="Calibri"/>
      <scheme val="minor"/>
    </font>
    <font>
      <b/>
      <sz val="2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FF0000"/>
      <name val="Calibri"/>
      <family val="2"/>
    </font>
    <font>
      <b/>
      <sz val="16"/>
      <color theme="1"/>
      <name val="Calibri"/>
      <family val="2"/>
    </font>
    <font>
      <b/>
      <sz val="11"/>
      <color rgb="FFBFBFBF"/>
      <name val="Calibri"/>
      <family val="2"/>
    </font>
    <font>
      <sz val="11"/>
      <color rgb="FFBFBFBF"/>
      <name val="Calibri"/>
      <family val="2"/>
    </font>
    <font>
      <b/>
      <sz val="11"/>
      <color rgb="FF0070C0"/>
      <name val="Calibri"/>
      <family val="2"/>
    </font>
    <font>
      <b/>
      <u/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b/>
      <u/>
      <sz val="14"/>
      <color theme="9" tint="0.39997558519241921"/>
      <name val="Calibri"/>
      <family val="2"/>
    </font>
    <font>
      <b/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9966"/>
        <bgColor rgb="FFFF996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rgb="FF00B0F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rgb="FFA8D08D"/>
      </patternFill>
    </fill>
    <fill>
      <patternFill patternType="solid">
        <fgColor rgb="FFFFCCFF"/>
        <bgColor rgb="FFF2F2F2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D8D8D8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22" fillId="0" borderId="0" xfId="0" applyFont="1" applyProtection="1"/>
    <xf numFmtId="164" fontId="3" fillId="0" borderId="0" xfId="0" applyNumberFormat="1" applyFont="1" applyProtection="1"/>
    <xf numFmtId="0" fontId="4" fillId="0" borderId="0" xfId="0" applyFont="1" applyAlignment="1" applyProtection="1">
      <alignment horizontal="left" vertical="top" wrapText="1"/>
    </xf>
    <xf numFmtId="164" fontId="4" fillId="4" borderId="13" xfId="0" applyNumberFormat="1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wrapText="1"/>
    </xf>
    <xf numFmtId="0" fontId="10" fillId="5" borderId="15" xfId="0" applyFont="1" applyFill="1" applyBorder="1" applyAlignment="1" applyProtection="1">
      <alignment wrapText="1"/>
    </xf>
    <xf numFmtId="164" fontId="10" fillId="5" borderId="18" xfId="0" applyNumberFormat="1" applyFont="1" applyFill="1" applyBorder="1" applyAlignment="1" applyProtection="1">
      <alignment wrapText="1"/>
    </xf>
    <xf numFmtId="164" fontId="10" fillId="5" borderId="19" xfId="0" applyNumberFormat="1" applyFont="1" applyFill="1" applyBorder="1" applyAlignment="1" applyProtection="1">
      <alignment wrapText="1"/>
    </xf>
    <xf numFmtId="164" fontId="10" fillId="6" borderId="19" xfId="0" applyNumberFormat="1" applyFont="1" applyFill="1" applyBorder="1" applyAlignment="1" applyProtection="1">
      <alignment wrapText="1"/>
    </xf>
    <xf numFmtId="9" fontId="10" fillId="5" borderId="19" xfId="0" applyNumberFormat="1" applyFont="1" applyFill="1" applyBorder="1" applyAlignment="1" applyProtection="1">
      <alignment wrapText="1"/>
    </xf>
    <xf numFmtId="164" fontId="10" fillId="5" borderId="17" xfId="0" applyNumberFormat="1" applyFont="1" applyFill="1" applyBorder="1" applyAlignment="1" applyProtection="1">
      <alignment wrapText="1"/>
    </xf>
    <xf numFmtId="164" fontId="10" fillId="4" borderId="14" xfId="0" applyNumberFormat="1" applyFont="1" applyFill="1" applyBorder="1" applyAlignment="1" applyProtection="1">
      <alignment wrapText="1"/>
    </xf>
    <xf numFmtId="0" fontId="3" fillId="0" borderId="20" xfId="0" applyFont="1" applyBorder="1" applyAlignment="1" applyProtection="1">
      <alignment horizontal="center" wrapText="1"/>
    </xf>
    <xf numFmtId="0" fontId="3" fillId="0" borderId="29" xfId="0" applyFont="1" applyBorder="1" applyAlignment="1" applyProtection="1">
      <alignment horizontal="center" wrapText="1"/>
    </xf>
    <xf numFmtId="0" fontId="2" fillId="5" borderId="35" xfId="0" applyFont="1" applyFill="1" applyBorder="1" applyAlignment="1" applyProtection="1">
      <alignment horizontal="right" wrapText="1"/>
    </xf>
    <xf numFmtId="0" fontId="2" fillId="5" borderId="17" xfId="0" applyFont="1" applyFill="1" applyBorder="1" applyAlignment="1" applyProtection="1">
      <alignment horizontal="right"/>
    </xf>
    <xf numFmtId="164" fontId="2" fillId="5" borderId="16" xfId="0" applyNumberFormat="1" applyFont="1" applyFill="1" applyBorder="1" applyProtection="1"/>
    <xf numFmtId="164" fontId="21" fillId="5" borderId="17" xfId="0" applyNumberFormat="1" applyFont="1" applyFill="1" applyBorder="1" applyAlignment="1" applyProtection="1">
      <alignment horizontal="right"/>
    </xf>
    <xf numFmtId="164" fontId="2" fillId="5" borderId="18" xfId="0" applyNumberFormat="1" applyFont="1" applyFill="1" applyBorder="1" applyProtection="1"/>
    <xf numFmtId="164" fontId="2" fillId="5" borderId="19" xfId="0" applyNumberFormat="1" applyFont="1" applyFill="1" applyBorder="1" applyProtection="1"/>
    <xf numFmtId="9" fontId="2" fillId="6" borderId="19" xfId="0" applyNumberFormat="1" applyFont="1" applyFill="1" applyBorder="1" applyProtection="1"/>
    <xf numFmtId="164" fontId="2" fillId="5" borderId="17" xfId="0" applyNumberFormat="1" applyFont="1" applyFill="1" applyBorder="1" applyProtection="1"/>
    <xf numFmtId="166" fontId="2" fillId="4" borderId="14" xfId="0" applyNumberFormat="1" applyFont="1" applyFill="1" applyBorder="1" applyProtection="1"/>
    <xf numFmtId="164" fontId="3" fillId="6" borderId="26" xfId="0" applyNumberFormat="1" applyFont="1" applyFill="1" applyBorder="1" applyProtection="1"/>
    <xf numFmtId="164" fontId="3" fillId="6" borderId="34" xfId="0" applyNumberFormat="1" applyFont="1" applyFill="1" applyBorder="1" applyProtection="1"/>
    <xf numFmtId="9" fontId="3" fillId="6" borderId="26" xfId="0" applyNumberFormat="1" applyFont="1" applyFill="1" applyBorder="1" applyAlignment="1" applyProtection="1">
      <alignment horizontal="center"/>
    </xf>
    <xf numFmtId="164" fontId="3" fillId="6" borderId="27" xfId="0" applyNumberFormat="1" applyFont="1" applyFill="1" applyBorder="1" applyProtection="1"/>
    <xf numFmtId="164" fontId="3" fillId="5" borderId="28" xfId="0" applyNumberFormat="1" applyFont="1" applyFill="1" applyBorder="1" applyProtection="1"/>
    <xf numFmtId="164" fontId="3" fillId="4" borderId="13" xfId="0" applyNumberFormat="1" applyFont="1" applyFill="1" applyBorder="1" applyProtection="1"/>
    <xf numFmtId="164" fontId="3" fillId="6" borderId="32" xfId="0" applyNumberFormat="1" applyFont="1" applyFill="1" applyBorder="1" applyProtection="1"/>
    <xf numFmtId="164" fontId="3" fillId="4" borderId="29" xfId="0" applyNumberFormat="1" applyFont="1" applyFill="1" applyBorder="1" applyProtection="1"/>
    <xf numFmtId="0" fontId="12" fillId="7" borderId="36" xfId="0" applyFont="1" applyFill="1" applyBorder="1" applyAlignment="1" applyProtection="1">
      <alignment horizontal="right"/>
    </xf>
    <xf numFmtId="166" fontId="2" fillId="7" borderId="15" xfId="0" applyNumberFormat="1" applyFont="1" applyFill="1" applyBorder="1" applyProtection="1"/>
    <xf numFmtId="0" fontId="3" fillId="0" borderId="0" xfId="0" applyFont="1" applyProtection="1"/>
    <xf numFmtId="0" fontId="2" fillId="0" borderId="25" xfId="0" applyFont="1" applyBorder="1" applyProtection="1"/>
    <xf numFmtId="0" fontId="6" fillId="0" borderId="0" xfId="0" applyFont="1" applyAlignment="1" applyProtection="1">
      <alignment horizontal="left" wrapText="1"/>
    </xf>
    <xf numFmtId="0" fontId="2" fillId="4" borderId="34" xfId="0" applyFont="1" applyFill="1" applyBorder="1" applyProtection="1"/>
    <xf numFmtId="166" fontId="2" fillId="4" borderId="34" xfId="0" applyNumberFormat="1" applyFont="1" applyFill="1" applyBorder="1" applyProtection="1"/>
    <xf numFmtId="9" fontId="3" fillId="4" borderId="34" xfId="0" applyNumberFormat="1" applyFont="1" applyFill="1" applyBorder="1" applyProtection="1"/>
    <xf numFmtId="0" fontId="3" fillId="8" borderId="34" xfId="0" applyFont="1" applyFill="1" applyBorder="1" applyProtection="1"/>
    <xf numFmtId="166" fontId="3" fillId="8" borderId="34" xfId="0" applyNumberFormat="1" applyFont="1" applyFill="1" applyBorder="1" applyProtection="1"/>
    <xf numFmtId="10" fontId="3" fillId="8" borderId="34" xfId="0" applyNumberFormat="1" applyFont="1" applyFill="1" applyBorder="1" applyProtection="1"/>
    <xf numFmtId="164" fontId="3" fillId="8" borderId="39" xfId="0" applyNumberFormat="1" applyFont="1" applyFill="1" applyBorder="1" applyAlignment="1" applyProtection="1">
      <alignment wrapText="1"/>
    </xf>
    <xf numFmtId="0" fontId="3" fillId="9" borderId="34" xfId="0" applyFont="1" applyFill="1" applyBorder="1" applyProtection="1"/>
    <xf numFmtId="166" fontId="3" fillId="9" borderId="34" xfId="0" applyNumberFormat="1" applyFont="1" applyFill="1" applyBorder="1" applyProtection="1"/>
    <xf numFmtId="10" fontId="3" fillId="9" borderId="34" xfId="0" applyNumberFormat="1" applyFont="1" applyFill="1" applyBorder="1" applyProtection="1"/>
    <xf numFmtId="164" fontId="3" fillId="9" borderId="2" xfId="0" applyNumberFormat="1" applyFont="1" applyFill="1" applyBorder="1" applyProtection="1"/>
    <xf numFmtId="0" fontId="2" fillId="2" borderId="40" xfId="0" applyFont="1" applyFill="1" applyBorder="1" applyAlignment="1" applyProtection="1">
      <alignment horizontal="right"/>
    </xf>
    <xf numFmtId="164" fontId="2" fillId="2" borderId="40" xfId="0" applyNumberFormat="1" applyFont="1" applyFill="1" applyBorder="1" applyProtection="1"/>
    <xf numFmtId="10" fontId="2" fillId="2" borderId="40" xfId="0" applyNumberFormat="1" applyFont="1" applyFill="1" applyBorder="1" applyProtection="1"/>
    <xf numFmtId="164" fontId="3" fillId="0" borderId="0" xfId="0" applyNumberFormat="1" applyFont="1" applyAlignment="1" applyProtection="1">
      <alignment horizontal="right" vertical="top" wrapText="1"/>
    </xf>
    <xf numFmtId="0" fontId="12" fillId="0" borderId="25" xfId="0" applyFont="1" applyBorder="1" applyAlignment="1" applyProtection="1">
      <alignment horizontal="center" vertical="center" wrapText="1"/>
    </xf>
    <xf numFmtId="0" fontId="23" fillId="0" borderId="25" xfId="0" applyFont="1" applyBorder="1" applyAlignment="1" applyProtection="1">
      <alignment horizontal="center" vertical="center"/>
    </xf>
    <xf numFmtId="0" fontId="3" fillId="13" borderId="34" xfId="0" applyFont="1" applyFill="1" applyBorder="1" applyProtection="1"/>
    <xf numFmtId="166" fontId="3" fillId="13" borderId="34" xfId="0" applyNumberFormat="1" applyFont="1" applyFill="1" applyBorder="1" applyProtection="1"/>
    <xf numFmtId="10" fontId="3" fillId="13" borderId="34" xfId="0" applyNumberFormat="1" applyFont="1" applyFill="1" applyBorder="1" applyProtection="1"/>
    <xf numFmtId="164" fontId="3" fillId="13" borderId="2" xfId="0" applyNumberFormat="1" applyFont="1" applyFill="1" applyBorder="1" applyProtection="1"/>
    <xf numFmtId="164" fontId="2" fillId="13" borderId="34" xfId="0" applyNumberFormat="1" applyFont="1" applyFill="1" applyBorder="1" applyAlignment="1" applyProtection="1">
      <alignment wrapText="1"/>
    </xf>
    <xf numFmtId="164" fontId="29" fillId="11" borderId="16" xfId="0" applyNumberFormat="1" applyFont="1" applyFill="1" applyBorder="1" applyAlignment="1" applyProtection="1">
      <alignment horizontal="center" wrapText="1"/>
    </xf>
    <xf numFmtId="164" fontId="29" fillId="11" borderId="17" xfId="0" applyNumberFormat="1" applyFont="1" applyFill="1" applyBorder="1" applyAlignment="1" applyProtection="1">
      <alignment horizontal="center" wrapText="1"/>
    </xf>
    <xf numFmtId="0" fontId="1" fillId="0" borderId="0" xfId="0" applyFont="1" applyAlignment="1" applyProtection="1">
      <alignment wrapText="1"/>
    </xf>
    <xf numFmtId="0" fontId="0" fillId="0" borderId="0" xfId="0" applyFont="1" applyAlignment="1" applyProtection="1"/>
    <xf numFmtId="0" fontId="4" fillId="0" borderId="0" xfId="0" applyFont="1" applyAlignment="1" applyProtection="1">
      <alignment horizontal="left" wrapText="1"/>
    </xf>
    <xf numFmtId="0" fontId="4" fillId="0" borderId="0" xfId="0" applyFont="1" applyAlignment="1" applyProtection="1">
      <alignment horizontal="left" vertical="center" wrapText="1"/>
    </xf>
    <xf numFmtId="0" fontId="7" fillId="0" borderId="0" xfId="0" applyFont="1" applyProtection="1"/>
    <xf numFmtId="0" fontId="8" fillId="0" borderId="0" xfId="0" applyFont="1" applyAlignment="1" applyProtection="1">
      <alignment horizontal="left" vertical="top" wrapText="1"/>
    </xf>
    <xf numFmtId="0" fontId="8" fillId="0" borderId="0" xfId="0" applyFont="1" applyProtection="1"/>
    <xf numFmtId="0" fontId="9" fillId="0" borderId="0" xfId="0" applyFont="1" applyAlignment="1" applyProtection="1">
      <alignment vertical="center" wrapText="1"/>
    </xf>
    <xf numFmtId="0" fontId="4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wrapText="1"/>
    </xf>
    <xf numFmtId="0" fontId="11" fillId="0" borderId="0" xfId="0" applyFont="1" applyProtection="1"/>
    <xf numFmtId="0" fontId="2" fillId="0" borderId="0" xfId="0" applyFont="1" applyProtection="1"/>
    <xf numFmtId="0" fontId="2" fillId="0" borderId="0" xfId="0" applyFont="1" applyAlignment="1" applyProtection="1">
      <alignment horizontal="right" wrapText="1"/>
    </xf>
    <xf numFmtId="0" fontId="2" fillId="0" borderId="0" xfId="0" applyFont="1" applyAlignment="1" applyProtection="1">
      <alignment horizontal="right"/>
    </xf>
    <xf numFmtId="164" fontId="2" fillId="0" borderId="0" xfId="0" applyNumberFormat="1" applyFont="1" applyProtection="1"/>
    <xf numFmtId="9" fontId="3" fillId="0" borderId="0" xfId="0" applyNumberFormat="1" applyFont="1" applyProtection="1"/>
    <xf numFmtId="0" fontId="13" fillId="0" borderId="0" xfId="0" applyFont="1" applyAlignment="1" applyProtection="1">
      <alignment horizontal="left" vertical="top" wrapText="1"/>
    </xf>
    <xf numFmtId="0" fontId="11" fillId="0" borderId="0" xfId="0" applyFont="1" applyAlignment="1" applyProtection="1">
      <alignment wrapText="1"/>
    </xf>
    <xf numFmtId="164" fontId="2" fillId="0" borderId="0" xfId="0" applyNumberFormat="1" applyFont="1" applyAlignment="1" applyProtection="1">
      <alignment wrapText="1"/>
    </xf>
    <xf numFmtId="0" fontId="11" fillId="13" borderId="2" xfId="0" applyFont="1" applyFill="1" applyBorder="1" applyProtection="1"/>
    <xf numFmtId="0" fontId="3" fillId="0" borderId="0" xfId="0" applyFont="1" applyAlignment="1" applyProtection="1">
      <alignment horizontal="left" vertical="top" wrapText="1"/>
    </xf>
    <xf numFmtId="166" fontId="3" fillId="0" borderId="0" xfId="0" applyNumberFormat="1" applyFont="1" applyAlignment="1" applyProtection="1">
      <alignment horizontal="left" vertical="top" wrapText="1"/>
    </xf>
    <xf numFmtId="167" fontId="4" fillId="0" borderId="0" xfId="0" applyNumberFormat="1" applyFont="1" applyAlignment="1" applyProtection="1">
      <alignment horizontal="left" vertical="top" wrapText="1"/>
    </xf>
    <xf numFmtId="0" fontId="2" fillId="0" borderId="0" xfId="0" applyFont="1" applyAlignment="1" applyProtection="1">
      <alignment horizontal="left" vertical="top" wrapText="1"/>
    </xf>
    <xf numFmtId="0" fontId="2" fillId="0" borderId="0" xfId="0" applyFont="1" applyAlignment="1" applyProtection="1">
      <alignment horizontal="right" vertical="center"/>
    </xf>
    <xf numFmtId="168" fontId="3" fillId="0" borderId="0" xfId="0" applyNumberFormat="1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top"/>
    </xf>
    <xf numFmtId="166" fontId="3" fillId="0" borderId="0" xfId="0" applyNumberFormat="1" applyFont="1" applyAlignment="1" applyProtection="1">
      <alignment horizontal="left" vertical="top"/>
    </xf>
    <xf numFmtId="167" fontId="3" fillId="0" borderId="0" xfId="0" applyNumberFormat="1" applyFont="1" applyAlignment="1" applyProtection="1">
      <alignment horizontal="left" vertical="top"/>
    </xf>
    <xf numFmtId="0" fontId="15" fillId="0" borderId="0" xfId="0" applyFont="1" applyAlignment="1" applyProtection="1">
      <alignment horizontal="right" vertical="center"/>
    </xf>
    <xf numFmtId="169" fontId="16" fillId="0" borderId="0" xfId="0" applyNumberFormat="1" applyFont="1" applyAlignment="1" applyProtection="1">
      <alignment horizontal="left" vertical="center"/>
    </xf>
    <xf numFmtId="9" fontId="4" fillId="0" borderId="0" xfId="0" applyNumberFormat="1" applyFont="1" applyAlignment="1" applyProtection="1">
      <alignment horizontal="left" vertical="top" wrapText="1"/>
    </xf>
    <xf numFmtId="170" fontId="3" fillId="0" borderId="0" xfId="0" applyNumberFormat="1" applyFont="1" applyProtection="1"/>
    <xf numFmtId="0" fontId="3" fillId="10" borderId="21" xfId="0" applyFont="1" applyFill="1" applyBorder="1" applyProtection="1">
      <protection locked="0"/>
    </xf>
    <xf numFmtId="49" fontId="3" fillId="10" borderId="22" xfId="0" applyNumberFormat="1" applyFont="1" applyFill="1" applyBorder="1" applyAlignment="1" applyProtection="1">
      <alignment horizontal="center"/>
      <protection locked="0"/>
    </xf>
    <xf numFmtId="165" fontId="3" fillId="10" borderId="23" xfId="0" applyNumberFormat="1" applyFont="1" applyFill="1" applyBorder="1" applyAlignment="1" applyProtection="1">
      <alignment horizontal="center"/>
      <protection locked="0"/>
    </xf>
    <xf numFmtId="164" fontId="3" fillId="10" borderId="24" xfId="0" applyNumberFormat="1" applyFont="1" applyFill="1" applyBorder="1" applyProtection="1">
      <protection locked="0"/>
    </xf>
    <xf numFmtId="164" fontId="3" fillId="10" borderId="25" xfId="0" applyNumberFormat="1" applyFont="1" applyFill="1" applyBorder="1" applyProtection="1">
      <protection locked="0"/>
    </xf>
    <xf numFmtId="0" fontId="3" fillId="10" borderId="30" xfId="0" applyFont="1" applyFill="1" applyBorder="1" applyProtection="1">
      <protection locked="0"/>
    </xf>
    <xf numFmtId="49" fontId="3" fillId="10" borderId="31" xfId="0" applyNumberFormat="1" applyFont="1" applyFill="1" applyBorder="1" applyAlignment="1" applyProtection="1">
      <alignment horizontal="center"/>
      <protection locked="0"/>
    </xf>
    <xf numFmtId="165" fontId="3" fillId="10" borderId="32" xfId="0" applyNumberFormat="1" applyFont="1" applyFill="1" applyBorder="1" applyAlignment="1" applyProtection="1">
      <alignment horizontal="center"/>
      <protection locked="0"/>
    </xf>
    <xf numFmtId="164" fontId="3" fillId="10" borderId="33" xfId="0" applyNumberFormat="1" applyFont="1" applyFill="1" applyBorder="1" applyProtection="1">
      <protection locked="0"/>
    </xf>
    <xf numFmtId="164" fontId="3" fillId="10" borderId="34" xfId="0" applyNumberFormat="1" applyFont="1" applyFill="1" applyBorder="1" applyProtection="1">
      <protection locked="0"/>
    </xf>
    <xf numFmtId="166" fontId="3" fillId="10" borderId="34" xfId="0" applyNumberFormat="1" applyFont="1" applyFill="1" applyBorder="1" applyProtection="1">
      <protection locked="0"/>
    </xf>
    <xf numFmtId="164" fontId="3" fillId="10" borderId="37" xfId="0" applyNumberFormat="1" applyFont="1" applyFill="1" applyBorder="1" applyAlignment="1" applyProtection="1">
      <alignment horizontal="left"/>
      <protection locked="0"/>
    </xf>
    <xf numFmtId="0" fontId="5" fillId="10" borderId="38" xfId="0" applyFont="1" applyFill="1" applyBorder="1" applyProtection="1">
      <protection locked="0"/>
    </xf>
    <xf numFmtId="0" fontId="5" fillId="10" borderId="31" xfId="0" applyFont="1" applyFill="1" applyBorder="1" applyProtection="1">
      <protection locked="0"/>
    </xf>
    <xf numFmtId="0" fontId="2" fillId="16" borderId="37" xfId="0" applyFont="1" applyFill="1" applyBorder="1" applyAlignment="1" applyProtection="1">
      <alignment horizontal="right"/>
    </xf>
    <xf numFmtId="0" fontId="5" fillId="15" borderId="38" xfId="0" applyFont="1" applyFill="1" applyBorder="1" applyProtection="1"/>
    <xf numFmtId="0" fontId="5" fillId="15" borderId="31" xfId="0" applyFont="1" applyFill="1" applyBorder="1" applyProtection="1"/>
    <xf numFmtId="0" fontId="3" fillId="2" borderId="41" xfId="0" applyFont="1" applyFill="1" applyBorder="1" applyAlignment="1" applyProtection="1">
      <alignment horizontal="left" vertical="top" wrapText="1"/>
    </xf>
    <xf numFmtId="0" fontId="5" fillId="0" borderId="42" xfId="0" applyFont="1" applyBorder="1" applyProtection="1"/>
    <xf numFmtId="0" fontId="5" fillId="0" borderId="43" xfId="0" applyFont="1" applyBorder="1" applyProtection="1"/>
    <xf numFmtId="0" fontId="5" fillId="0" borderId="44" xfId="0" applyFont="1" applyBorder="1" applyProtection="1"/>
    <xf numFmtId="0" fontId="5" fillId="0" borderId="45" xfId="0" applyFont="1" applyBorder="1" applyProtection="1"/>
    <xf numFmtId="0" fontId="5" fillId="0" borderId="22" xfId="0" applyFont="1" applyBorder="1" applyProtection="1"/>
    <xf numFmtId="0" fontId="6" fillId="14" borderId="37" xfId="0" applyFont="1" applyFill="1" applyBorder="1" applyAlignment="1" applyProtection="1">
      <alignment horizontal="left" vertical="center"/>
    </xf>
    <xf numFmtId="0" fontId="12" fillId="15" borderId="37" xfId="0" applyFont="1" applyFill="1" applyBorder="1" applyAlignment="1" applyProtection="1">
      <alignment horizontal="left" wrapText="1"/>
    </xf>
    <xf numFmtId="0" fontId="2" fillId="16" borderId="37" xfId="0" applyFont="1" applyFill="1" applyBorder="1" applyAlignment="1" applyProtection="1">
      <alignment horizontal="left" wrapText="1"/>
    </xf>
    <xf numFmtId="164" fontId="21" fillId="2" borderId="1" xfId="0" applyNumberFormat="1" applyFont="1" applyFill="1" applyBorder="1" applyAlignment="1" applyProtection="1">
      <alignment horizontal="left" vertical="center"/>
    </xf>
    <xf numFmtId="164" fontId="21" fillId="2" borderId="11" xfId="0" applyNumberFormat="1" applyFont="1" applyFill="1" applyBorder="1" applyAlignment="1" applyProtection="1">
      <alignment horizontal="left" vertical="center"/>
    </xf>
    <xf numFmtId="164" fontId="21" fillId="2" borderId="3" xfId="0" applyNumberFormat="1" applyFont="1" applyFill="1" applyBorder="1" applyAlignment="1" applyProtection="1">
      <alignment horizontal="left" vertical="center"/>
    </xf>
    <xf numFmtId="0" fontId="20" fillId="3" borderId="36" xfId="0" applyFont="1" applyFill="1" applyBorder="1" applyAlignment="1" applyProtection="1">
      <alignment horizontal="left" vertical="top" wrapText="1"/>
    </xf>
    <xf numFmtId="0" fontId="20" fillId="3" borderId="7" xfId="0" applyFont="1" applyFill="1" applyBorder="1" applyAlignment="1" applyProtection="1">
      <alignment horizontal="left" vertical="top" wrapText="1"/>
    </xf>
    <xf numFmtId="0" fontId="20" fillId="3" borderId="15" xfId="0" applyFont="1" applyFill="1" applyBorder="1" applyAlignment="1" applyProtection="1">
      <alignment horizontal="left" vertical="top" wrapText="1"/>
    </xf>
    <xf numFmtId="0" fontId="19" fillId="0" borderId="36" xfId="0" applyFont="1" applyBorder="1" applyAlignment="1" applyProtection="1">
      <alignment horizontal="center" vertical="center" wrapText="1"/>
    </xf>
    <xf numFmtId="0" fontId="4" fillId="0" borderId="15" xfId="0" applyFont="1" applyBorder="1" applyAlignment="1" applyProtection="1">
      <alignment horizontal="center" vertical="center" wrapText="1"/>
    </xf>
    <xf numFmtId="0" fontId="14" fillId="3" borderId="37" xfId="0" applyFont="1" applyFill="1" applyBorder="1" applyAlignment="1" applyProtection="1">
      <alignment horizontal="left" vertical="center" wrapText="1"/>
    </xf>
    <xf numFmtId="0" fontId="5" fillId="0" borderId="38" xfId="0" applyFont="1" applyBorder="1" applyProtection="1"/>
    <xf numFmtId="0" fontId="5" fillId="0" borderId="31" xfId="0" applyFont="1" applyBorder="1" applyProtection="1"/>
    <xf numFmtId="0" fontId="13" fillId="0" borderId="37" xfId="0" applyFont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5" fillId="0" borderId="5" xfId="0" applyFont="1" applyBorder="1" applyProtection="1"/>
    <xf numFmtId="0" fontId="5" fillId="0" borderId="6" xfId="0" applyFont="1" applyBorder="1" applyProtection="1"/>
    <xf numFmtId="164" fontId="26" fillId="11" borderId="8" xfId="0" applyNumberFormat="1" applyFont="1" applyFill="1" applyBorder="1" applyAlignment="1" applyProtection="1">
      <alignment horizontal="center" vertical="center" wrapText="1"/>
    </xf>
    <xf numFmtId="0" fontId="27" fillId="12" borderId="9" xfId="0" applyFont="1" applyFill="1" applyBorder="1" applyProtection="1"/>
    <xf numFmtId="0" fontId="9" fillId="0" borderId="10" xfId="0" applyFont="1" applyBorder="1" applyAlignment="1" applyProtection="1">
      <alignment horizontal="center" vertical="center" wrapText="1"/>
    </xf>
    <xf numFmtId="0" fontId="5" fillId="0" borderId="11" xfId="0" applyFont="1" applyBorder="1" applyProtection="1"/>
    <xf numFmtId="0" fontId="5" fillId="0" borderId="12" xfId="0" applyFont="1" applyBorder="1" applyProtection="1"/>
    <xf numFmtId="0" fontId="25" fillId="0" borderId="1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6"/>
  <sheetViews>
    <sheetView tabSelected="1" topLeftCell="A4" zoomScale="55" zoomScaleNormal="55" workbookViewId="0">
      <selection activeCell="N14" sqref="N14"/>
    </sheetView>
  </sheetViews>
  <sheetFormatPr defaultColWidth="14.453125" defaultRowHeight="15" customHeight="1" outlineLevelRow="1" x14ac:dyDescent="0.35"/>
  <cols>
    <col min="1" max="1" width="11.08984375" style="62" customWidth="1"/>
    <col min="2" max="2" width="72" style="62" customWidth="1"/>
    <col min="3" max="3" width="17.7265625" style="62" customWidth="1"/>
    <col min="4" max="9" width="20" style="62" customWidth="1"/>
    <col min="10" max="10" width="15" style="62" customWidth="1"/>
    <col min="11" max="11" width="20" style="62" customWidth="1"/>
    <col min="12" max="12" width="20.26953125" style="62" customWidth="1"/>
    <col min="13" max="14" width="21" style="62" customWidth="1"/>
    <col min="15" max="16384" width="14.453125" style="62"/>
  </cols>
  <sheetData>
    <row r="1" spans="1:26" ht="34" thickBot="1" x14ac:dyDescent="0.8">
      <c r="A1" s="61"/>
      <c r="B1" s="1" t="s">
        <v>38</v>
      </c>
      <c r="C1" s="120" t="s">
        <v>44</v>
      </c>
      <c r="D1" s="121"/>
      <c r="E1" s="121"/>
      <c r="F1" s="121"/>
      <c r="G1" s="121"/>
      <c r="H1" s="121"/>
      <c r="I1" s="121"/>
      <c r="J1" s="122"/>
      <c r="K1" s="51" t="s">
        <v>41</v>
      </c>
      <c r="L1" s="2"/>
      <c r="M1" s="2"/>
      <c r="N1" s="2"/>
      <c r="O1" s="2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65" customHeight="1" thickBot="1" x14ac:dyDescent="0.5">
      <c r="A2" s="63"/>
      <c r="B2" s="132" t="s">
        <v>45</v>
      </c>
      <c r="C2" s="133"/>
      <c r="D2" s="133"/>
      <c r="E2" s="133"/>
      <c r="F2" s="133"/>
      <c r="G2" s="133"/>
      <c r="H2" s="133"/>
      <c r="I2" s="133"/>
      <c r="J2" s="133"/>
      <c r="K2" s="1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9" thickBot="1" x14ac:dyDescent="0.5">
      <c r="A3" s="63"/>
      <c r="B3" s="64"/>
      <c r="C3" s="64"/>
      <c r="D3" s="64"/>
      <c r="E3" s="64"/>
      <c r="F3" s="64"/>
      <c r="G3" s="64"/>
      <c r="H3" s="64"/>
      <c r="I3" s="64"/>
      <c r="J3" s="6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46.5" customHeight="1" thickBot="1" x14ac:dyDescent="0.55000000000000004">
      <c r="A4" s="3"/>
      <c r="B4" s="123" t="s">
        <v>39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5"/>
      <c r="O4" s="65"/>
      <c r="P4" s="66"/>
      <c r="Q4" s="66"/>
      <c r="R4" s="67"/>
      <c r="S4" s="67"/>
      <c r="T4" s="67"/>
      <c r="U4" s="67"/>
      <c r="V4" s="67"/>
      <c r="W4" s="67"/>
      <c r="X4" s="67"/>
      <c r="Y4" s="67"/>
      <c r="Z4" s="34"/>
    </row>
    <row r="5" spans="1:26" ht="37.5" thickBot="1" x14ac:dyDescent="0.4">
      <c r="A5" s="126" t="s">
        <v>40</v>
      </c>
      <c r="B5" s="127"/>
      <c r="C5" s="135" t="s">
        <v>0</v>
      </c>
      <c r="D5" s="136"/>
      <c r="E5" s="137" t="s">
        <v>1</v>
      </c>
      <c r="F5" s="138"/>
      <c r="G5" s="138"/>
      <c r="H5" s="138"/>
      <c r="I5" s="138"/>
      <c r="J5" s="138"/>
      <c r="K5" s="139"/>
      <c r="L5" s="140" t="s">
        <v>2</v>
      </c>
      <c r="M5" s="139"/>
      <c r="N5" s="4" t="s">
        <v>3</v>
      </c>
      <c r="O5" s="68"/>
      <c r="P5" s="64"/>
      <c r="Q5" s="64"/>
      <c r="R5" s="69"/>
      <c r="S5" s="69"/>
      <c r="T5" s="69"/>
      <c r="U5" s="69"/>
      <c r="V5" s="69"/>
      <c r="W5" s="69"/>
      <c r="X5" s="69"/>
      <c r="Y5" s="69"/>
      <c r="Z5" s="69"/>
    </row>
    <row r="6" spans="1:26" ht="80.25" customHeight="1" thickBot="1" x14ac:dyDescent="0.4">
      <c r="A6" s="5" t="s">
        <v>4</v>
      </c>
      <c r="B6" s="6" t="s">
        <v>5</v>
      </c>
      <c r="C6" s="59" t="s">
        <v>42</v>
      </c>
      <c r="D6" s="60" t="s">
        <v>43</v>
      </c>
      <c r="E6" s="7" t="s">
        <v>6</v>
      </c>
      <c r="F6" s="8" t="s">
        <v>7</v>
      </c>
      <c r="G6" s="8" t="s">
        <v>8</v>
      </c>
      <c r="H6" s="9" t="s">
        <v>9</v>
      </c>
      <c r="I6" s="10" t="s">
        <v>10</v>
      </c>
      <c r="J6" s="10" t="s">
        <v>11</v>
      </c>
      <c r="K6" s="11" t="s">
        <v>12</v>
      </c>
      <c r="L6" s="7" t="s">
        <v>13</v>
      </c>
      <c r="M6" s="11" t="s">
        <v>14</v>
      </c>
      <c r="N6" s="12" t="s">
        <v>15</v>
      </c>
      <c r="O6" s="70"/>
      <c r="P6" s="34"/>
      <c r="Q6" s="34"/>
      <c r="R6" s="34"/>
      <c r="S6" s="34"/>
      <c r="T6" s="34"/>
      <c r="U6" s="70"/>
      <c r="V6" s="70"/>
      <c r="W6" s="70"/>
      <c r="X6" s="70"/>
      <c r="Y6" s="34"/>
      <c r="Z6" s="34"/>
    </row>
    <row r="7" spans="1:26" ht="14.5" x14ac:dyDescent="0.35">
      <c r="A7" s="13">
        <v>1</v>
      </c>
      <c r="B7" s="94"/>
      <c r="C7" s="95"/>
      <c r="D7" s="96"/>
      <c r="E7" s="97"/>
      <c r="F7" s="98"/>
      <c r="G7" s="98"/>
      <c r="H7" s="24">
        <f t="shared" ref="H7:H46" si="0">E7-F7-G7</f>
        <v>0</v>
      </c>
      <c r="I7" s="98"/>
      <c r="J7" s="26" t="e">
        <f t="shared" ref="J7:J47" si="1">I7/H7</f>
        <v>#DIV/0!</v>
      </c>
      <c r="K7" s="27">
        <f t="shared" ref="K7:K46" si="2">H7-I7</f>
        <v>0</v>
      </c>
      <c r="L7" s="28">
        <f t="shared" ref="L7:L46" si="3">K7*D7*1.05</f>
        <v>0</v>
      </c>
      <c r="M7" s="27">
        <f t="shared" ref="M7:M46" si="4">I7*D7</f>
        <v>0</v>
      </c>
      <c r="N7" s="29">
        <f t="shared" ref="N7:N46" si="5">L7+M7</f>
        <v>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5" x14ac:dyDescent="0.35">
      <c r="A8" s="14">
        <f t="shared" ref="A8:A46" si="6">1+A7</f>
        <v>2</v>
      </c>
      <c r="B8" s="99"/>
      <c r="C8" s="100"/>
      <c r="D8" s="101"/>
      <c r="E8" s="102"/>
      <c r="F8" s="103"/>
      <c r="G8" s="103"/>
      <c r="H8" s="25">
        <f t="shared" si="0"/>
        <v>0</v>
      </c>
      <c r="I8" s="103"/>
      <c r="J8" s="26" t="e">
        <f t="shared" si="1"/>
        <v>#DIV/0!</v>
      </c>
      <c r="K8" s="30">
        <f t="shared" si="2"/>
        <v>0</v>
      </c>
      <c r="L8" s="28">
        <f t="shared" si="3"/>
        <v>0</v>
      </c>
      <c r="M8" s="30">
        <f t="shared" si="4"/>
        <v>0</v>
      </c>
      <c r="N8" s="31">
        <f t="shared" si="5"/>
        <v>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5" x14ac:dyDescent="0.35">
      <c r="A9" s="14">
        <f t="shared" si="6"/>
        <v>3</v>
      </c>
      <c r="B9" s="99"/>
      <c r="C9" s="100"/>
      <c r="D9" s="101"/>
      <c r="E9" s="102"/>
      <c r="F9" s="103"/>
      <c r="G9" s="103"/>
      <c r="H9" s="25">
        <f t="shared" si="0"/>
        <v>0</v>
      </c>
      <c r="I9" s="103"/>
      <c r="J9" s="26" t="e">
        <f t="shared" si="1"/>
        <v>#DIV/0!</v>
      </c>
      <c r="K9" s="30">
        <f t="shared" si="2"/>
        <v>0</v>
      </c>
      <c r="L9" s="28">
        <f t="shared" si="3"/>
        <v>0</v>
      </c>
      <c r="M9" s="30">
        <f t="shared" si="4"/>
        <v>0</v>
      </c>
      <c r="N9" s="31">
        <f t="shared" si="5"/>
        <v>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5" x14ac:dyDescent="0.35">
      <c r="A10" s="14">
        <f t="shared" si="6"/>
        <v>4</v>
      </c>
      <c r="B10" s="99"/>
      <c r="C10" s="100"/>
      <c r="D10" s="101"/>
      <c r="E10" s="102"/>
      <c r="F10" s="103"/>
      <c r="G10" s="103"/>
      <c r="H10" s="25">
        <f t="shared" si="0"/>
        <v>0</v>
      </c>
      <c r="I10" s="103"/>
      <c r="J10" s="26" t="e">
        <f t="shared" si="1"/>
        <v>#DIV/0!</v>
      </c>
      <c r="K10" s="30">
        <f t="shared" si="2"/>
        <v>0</v>
      </c>
      <c r="L10" s="28">
        <f t="shared" si="3"/>
        <v>0</v>
      </c>
      <c r="M10" s="30">
        <f t="shared" si="4"/>
        <v>0</v>
      </c>
      <c r="N10" s="31">
        <f t="shared" si="5"/>
        <v>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5" x14ac:dyDescent="0.35">
      <c r="A11" s="14">
        <f t="shared" si="6"/>
        <v>5</v>
      </c>
      <c r="B11" s="99"/>
      <c r="C11" s="100"/>
      <c r="D11" s="101"/>
      <c r="E11" s="102"/>
      <c r="F11" s="103"/>
      <c r="G11" s="103"/>
      <c r="H11" s="25">
        <f t="shared" si="0"/>
        <v>0</v>
      </c>
      <c r="I11" s="103"/>
      <c r="J11" s="26" t="e">
        <f t="shared" si="1"/>
        <v>#DIV/0!</v>
      </c>
      <c r="K11" s="30">
        <f t="shared" si="2"/>
        <v>0</v>
      </c>
      <c r="L11" s="28">
        <f t="shared" si="3"/>
        <v>0</v>
      </c>
      <c r="M11" s="30">
        <f t="shared" si="4"/>
        <v>0</v>
      </c>
      <c r="N11" s="31">
        <f t="shared" si="5"/>
        <v>0</v>
      </c>
      <c r="O11" s="34"/>
      <c r="P11" s="34"/>
      <c r="Q11" s="34"/>
      <c r="R11" s="34"/>
      <c r="S11" s="34"/>
      <c r="T11" s="34"/>
      <c r="U11" s="71"/>
      <c r="V11" s="71"/>
      <c r="W11" s="71"/>
      <c r="X11" s="71"/>
      <c r="Y11" s="34"/>
      <c r="Z11" s="34"/>
    </row>
    <row r="12" spans="1:26" ht="14.5" x14ac:dyDescent="0.35">
      <c r="A12" s="14">
        <f t="shared" si="6"/>
        <v>6</v>
      </c>
      <c r="B12" s="99"/>
      <c r="C12" s="100"/>
      <c r="D12" s="101"/>
      <c r="E12" s="102"/>
      <c r="F12" s="103"/>
      <c r="G12" s="103"/>
      <c r="H12" s="25">
        <f t="shared" si="0"/>
        <v>0</v>
      </c>
      <c r="I12" s="103"/>
      <c r="J12" s="26" t="e">
        <f t="shared" si="1"/>
        <v>#DIV/0!</v>
      </c>
      <c r="K12" s="30">
        <f t="shared" si="2"/>
        <v>0</v>
      </c>
      <c r="L12" s="28">
        <f t="shared" si="3"/>
        <v>0</v>
      </c>
      <c r="M12" s="30">
        <f t="shared" si="4"/>
        <v>0</v>
      </c>
      <c r="N12" s="31">
        <f t="shared" si="5"/>
        <v>0</v>
      </c>
      <c r="O12" s="34"/>
      <c r="P12" s="34"/>
      <c r="Q12" s="34"/>
      <c r="R12" s="34"/>
      <c r="S12" s="34"/>
      <c r="T12" s="34"/>
      <c r="U12" s="34"/>
      <c r="V12" s="71"/>
      <c r="W12" s="71"/>
      <c r="X12" s="71"/>
      <c r="Y12" s="34"/>
      <c r="Z12" s="34"/>
    </row>
    <row r="13" spans="1:26" ht="14.5" x14ac:dyDescent="0.35">
      <c r="A13" s="14">
        <f t="shared" si="6"/>
        <v>7</v>
      </c>
      <c r="B13" s="99"/>
      <c r="C13" s="100"/>
      <c r="D13" s="101"/>
      <c r="E13" s="102"/>
      <c r="F13" s="103"/>
      <c r="G13" s="103"/>
      <c r="H13" s="25">
        <f t="shared" si="0"/>
        <v>0</v>
      </c>
      <c r="I13" s="103"/>
      <c r="J13" s="26" t="e">
        <f t="shared" si="1"/>
        <v>#DIV/0!</v>
      </c>
      <c r="K13" s="30">
        <f t="shared" si="2"/>
        <v>0</v>
      </c>
      <c r="L13" s="28">
        <f t="shared" si="3"/>
        <v>0</v>
      </c>
      <c r="M13" s="30">
        <f t="shared" si="4"/>
        <v>0</v>
      </c>
      <c r="N13" s="31">
        <f t="shared" si="5"/>
        <v>0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 x14ac:dyDescent="0.35">
      <c r="A14" s="14">
        <f t="shared" si="6"/>
        <v>8</v>
      </c>
      <c r="B14" s="99"/>
      <c r="C14" s="100"/>
      <c r="D14" s="101"/>
      <c r="E14" s="102"/>
      <c r="F14" s="103"/>
      <c r="G14" s="103"/>
      <c r="H14" s="25">
        <f t="shared" si="0"/>
        <v>0</v>
      </c>
      <c r="I14" s="103"/>
      <c r="J14" s="26" t="e">
        <f t="shared" si="1"/>
        <v>#DIV/0!</v>
      </c>
      <c r="K14" s="30">
        <f t="shared" si="2"/>
        <v>0</v>
      </c>
      <c r="L14" s="28">
        <f t="shared" si="3"/>
        <v>0</v>
      </c>
      <c r="M14" s="30">
        <f t="shared" si="4"/>
        <v>0</v>
      </c>
      <c r="N14" s="31">
        <f t="shared" si="5"/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 x14ac:dyDescent="0.35">
      <c r="A15" s="14">
        <f t="shared" si="6"/>
        <v>9</v>
      </c>
      <c r="B15" s="99"/>
      <c r="C15" s="100"/>
      <c r="D15" s="101"/>
      <c r="E15" s="102"/>
      <c r="F15" s="103"/>
      <c r="G15" s="103"/>
      <c r="H15" s="25">
        <f t="shared" si="0"/>
        <v>0</v>
      </c>
      <c r="I15" s="103"/>
      <c r="J15" s="26" t="e">
        <f t="shared" si="1"/>
        <v>#DIV/0!</v>
      </c>
      <c r="K15" s="30">
        <f t="shared" si="2"/>
        <v>0</v>
      </c>
      <c r="L15" s="28">
        <f t="shared" si="3"/>
        <v>0</v>
      </c>
      <c r="M15" s="30">
        <f t="shared" si="4"/>
        <v>0</v>
      </c>
      <c r="N15" s="31">
        <f t="shared" si="5"/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5" x14ac:dyDescent="0.35">
      <c r="A16" s="14">
        <f t="shared" si="6"/>
        <v>10</v>
      </c>
      <c r="B16" s="99"/>
      <c r="C16" s="100"/>
      <c r="D16" s="101"/>
      <c r="E16" s="102"/>
      <c r="F16" s="103"/>
      <c r="G16" s="103"/>
      <c r="H16" s="25">
        <f t="shared" si="0"/>
        <v>0</v>
      </c>
      <c r="I16" s="103"/>
      <c r="J16" s="26" t="e">
        <f t="shared" si="1"/>
        <v>#DIV/0!</v>
      </c>
      <c r="K16" s="30">
        <f t="shared" si="2"/>
        <v>0</v>
      </c>
      <c r="L16" s="28">
        <f t="shared" si="3"/>
        <v>0</v>
      </c>
      <c r="M16" s="30">
        <f t="shared" si="4"/>
        <v>0</v>
      </c>
      <c r="N16" s="31">
        <f t="shared" si="5"/>
        <v>0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.75" customHeight="1" x14ac:dyDescent="0.35">
      <c r="A17" s="14">
        <f t="shared" si="6"/>
        <v>11</v>
      </c>
      <c r="B17" s="99"/>
      <c r="C17" s="100"/>
      <c r="D17" s="101"/>
      <c r="E17" s="102"/>
      <c r="F17" s="103"/>
      <c r="G17" s="103"/>
      <c r="H17" s="25">
        <f t="shared" si="0"/>
        <v>0</v>
      </c>
      <c r="I17" s="103"/>
      <c r="J17" s="26" t="e">
        <f t="shared" si="1"/>
        <v>#DIV/0!</v>
      </c>
      <c r="K17" s="30">
        <f t="shared" si="2"/>
        <v>0</v>
      </c>
      <c r="L17" s="28">
        <f t="shared" si="3"/>
        <v>0</v>
      </c>
      <c r="M17" s="30">
        <f t="shared" si="4"/>
        <v>0</v>
      </c>
      <c r="N17" s="31">
        <f t="shared" si="5"/>
        <v>0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5" x14ac:dyDescent="0.35">
      <c r="A18" s="14">
        <f t="shared" si="6"/>
        <v>12</v>
      </c>
      <c r="B18" s="99"/>
      <c r="C18" s="100"/>
      <c r="D18" s="101"/>
      <c r="E18" s="102"/>
      <c r="F18" s="103"/>
      <c r="G18" s="103"/>
      <c r="H18" s="25">
        <f t="shared" si="0"/>
        <v>0</v>
      </c>
      <c r="I18" s="103"/>
      <c r="J18" s="26" t="e">
        <f t="shared" si="1"/>
        <v>#DIV/0!</v>
      </c>
      <c r="K18" s="30">
        <f t="shared" si="2"/>
        <v>0</v>
      </c>
      <c r="L18" s="28">
        <f t="shared" si="3"/>
        <v>0</v>
      </c>
      <c r="M18" s="30">
        <f t="shared" si="4"/>
        <v>0</v>
      </c>
      <c r="N18" s="31">
        <f t="shared" si="5"/>
        <v>0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5" x14ac:dyDescent="0.35">
      <c r="A19" s="14">
        <f t="shared" si="6"/>
        <v>13</v>
      </c>
      <c r="B19" s="99"/>
      <c r="C19" s="100"/>
      <c r="D19" s="101"/>
      <c r="E19" s="102"/>
      <c r="F19" s="103"/>
      <c r="G19" s="103"/>
      <c r="H19" s="25">
        <f t="shared" si="0"/>
        <v>0</v>
      </c>
      <c r="I19" s="103"/>
      <c r="J19" s="26" t="e">
        <f t="shared" si="1"/>
        <v>#DIV/0!</v>
      </c>
      <c r="K19" s="30">
        <f t="shared" si="2"/>
        <v>0</v>
      </c>
      <c r="L19" s="28">
        <f t="shared" si="3"/>
        <v>0</v>
      </c>
      <c r="M19" s="30">
        <f t="shared" si="4"/>
        <v>0</v>
      </c>
      <c r="N19" s="31">
        <f t="shared" si="5"/>
        <v>0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5" x14ac:dyDescent="0.35">
      <c r="A20" s="14">
        <f t="shared" si="6"/>
        <v>14</v>
      </c>
      <c r="B20" s="99"/>
      <c r="C20" s="100"/>
      <c r="D20" s="101"/>
      <c r="E20" s="102"/>
      <c r="F20" s="103"/>
      <c r="G20" s="103"/>
      <c r="H20" s="25">
        <f t="shared" si="0"/>
        <v>0</v>
      </c>
      <c r="I20" s="103"/>
      <c r="J20" s="26" t="e">
        <f t="shared" si="1"/>
        <v>#DIV/0!</v>
      </c>
      <c r="K20" s="30">
        <f t="shared" si="2"/>
        <v>0</v>
      </c>
      <c r="L20" s="28">
        <f t="shared" si="3"/>
        <v>0</v>
      </c>
      <c r="M20" s="30">
        <f t="shared" si="4"/>
        <v>0</v>
      </c>
      <c r="N20" s="31">
        <f t="shared" si="5"/>
        <v>0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5" x14ac:dyDescent="0.35">
      <c r="A21" s="14">
        <f t="shared" si="6"/>
        <v>15</v>
      </c>
      <c r="B21" s="99"/>
      <c r="C21" s="100"/>
      <c r="D21" s="101"/>
      <c r="E21" s="102"/>
      <c r="F21" s="103"/>
      <c r="G21" s="103"/>
      <c r="H21" s="25">
        <f t="shared" si="0"/>
        <v>0</v>
      </c>
      <c r="I21" s="103"/>
      <c r="J21" s="26" t="e">
        <f t="shared" si="1"/>
        <v>#DIV/0!</v>
      </c>
      <c r="K21" s="30">
        <f t="shared" si="2"/>
        <v>0</v>
      </c>
      <c r="L21" s="28">
        <f t="shared" si="3"/>
        <v>0</v>
      </c>
      <c r="M21" s="30">
        <f t="shared" si="4"/>
        <v>0</v>
      </c>
      <c r="N21" s="31">
        <f t="shared" si="5"/>
        <v>0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5" x14ac:dyDescent="0.35">
      <c r="A22" s="14">
        <f t="shared" si="6"/>
        <v>16</v>
      </c>
      <c r="B22" s="99"/>
      <c r="C22" s="100"/>
      <c r="D22" s="101"/>
      <c r="E22" s="102"/>
      <c r="F22" s="103"/>
      <c r="G22" s="103"/>
      <c r="H22" s="25">
        <f t="shared" si="0"/>
        <v>0</v>
      </c>
      <c r="I22" s="103"/>
      <c r="J22" s="26" t="e">
        <f t="shared" si="1"/>
        <v>#DIV/0!</v>
      </c>
      <c r="K22" s="30">
        <f t="shared" si="2"/>
        <v>0</v>
      </c>
      <c r="L22" s="28">
        <f t="shared" si="3"/>
        <v>0</v>
      </c>
      <c r="M22" s="30">
        <f t="shared" si="4"/>
        <v>0</v>
      </c>
      <c r="N22" s="31">
        <f t="shared" si="5"/>
        <v>0</v>
      </c>
      <c r="O22" s="34"/>
      <c r="P22" s="34"/>
      <c r="Q22" s="34"/>
      <c r="R22" s="34"/>
      <c r="S22" s="34"/>
      <c r="T22" s="34"/>
      <c r="U22" s="71"/>
      <c r="V22" s="71"/>
      <c r="W22" s="71"/>
      <c r="X22" s="71"/>
      <c r="Y22" s="34"/>
      <c r="Z22" s="34"/>
    </row>
    <row r="23" spans="1:26" ht="14.5" x14ac:dyDescent="0.35">
      <c r="A23" s="14">
        <f t="shared" si="6"/>
        <v>17</v>
      </c>
      <c r="B23" s="99"/>
      <c r="C23" s="100"/>
      <c r="D23" s="101"/>
      <c r="E23" s="102"/>
      <c r="F23" s="103"/>
      <c r="G23" s="103"/>
      <c r="H23" s="25">
        <f t="shared" si="0"/>
        <v>0</v>
      </c>
      <c r="I23" s="103"/>
      <c r="J23" s="26" t="e">
        <f t="shared" si="1"/>
        <v>#DIV/0!</v>
      </c>
      <c r="K23" s="30">
        <f t="shared" si="2"/>
        <v>0</v>
      </c>
      <c r="L23" s="28">
        <f t="shared" si="3"/>
        <v>0</v>
      </c>
      <c r="M23" s="30">
        <f t="shared" si="4"/>
        <v>0</v>
      </c>
      <c r="N23" s="31">
        <f t="shared" si="5"/>
        <v>0</v>
      </c>
      <c r="O23" s="34"/>
      <c r="P23" s="34"/>
      <c r="Q23" s="34"/>
      <c r="R23" s="34"/>
      <c r="S23" s="34"/>
      <c r="T23" s="34"/>
      <c r="U23" s="34"/>
      <c r="V23" s="71"/>
      <c r="W23" s="71"/>
      <c r="X23" s="71"/>
      <c r="Y23" s="34"/>
      <c r="Z23" s="34"/>
    </row>
    <row r="24" spans="1:26" ht="14.5" x14ac:dyDescent="0.35">
      <c r="A24" s="14">
        <f t="shared" si="6"/>
        <v>18</v>
      </c>
      <c r="B24" s="99"/>
      <c r="C24" s="100"/>
      <c r="D24" s="101"/>
      <c r="E24" s="102"/>
      <c r="F24" s="103"/>
      <c r="G24" s="103"/>
      <c r="H24" s="25">
        <f t="shared" si="0"/>
        <v>0</v>
      </c>
      <c r="I24" s="103"/>
      <c r="J24" s="26" t="e">
        <f t="shared" si="1"/>
        <v>#DIV/0!</v>
      </c>
      <c r="K24" s="30">
        <f t="shared" si="2"/>
        <v>0</v>
      </c>
      <c r="L24" s="28">
        <f t="shared" si="3"/>
        <v>0</v>
      </c>
      <c r="M24" s="30">
        <f t="shared" si="4"/>
        <v>0</v>
      </c>
      <c r="N24" s="31">
        <f t="shared" si="5"/>
        <v>0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 x14ac:dyDescent="0.35">
      <c r="A25" s="14">
        <f t="shared" si="6"/>
        <v>19</v>
      </c>
      <c r="B25" s="99"/>
      <c r="C25" s="100"/>
      <c r="D25" s="101"/>
      <c r="E25" s="102"/>
      <c r="F25" s="103"/>
      <c r="G25" s="103"/>
      <c r="H25" s="25">
        <f t="shared" si="0"/>
        <v>0</v>
      </c>
      <c r="I25" s="103"/>
      <c r="J25" s="26" t="e">
        <f t="shared" si="1"/>
        <v>#DIV/0!</v>
      </c>
      <c r="K25" s="30">
        <f t="shared" si="2"/>
        <v>0</v>
      </c>
      <c r="L25" s="28">
        <f t="shared" si="3"/>
        <v>0</v>
      </c>
      <c r="M25" s="30">
        <f t="shared" si="4"/>
        <v>0</v>
      </c>
      <c r="N25" s="31">
        <f t="shared" si="5"/>
        <v>0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 x14ac:dyDescent="0.35">
      <c r="A26" s="14">
        <f t="shared" si="6"/>
        <v>20</v>
      </c>
      <c r="B26" s="99"/>
      <c r="C26" s="100"/>
      <c r="D26" s="101"/>
      <c r="E26" s="102"/>
      <c r="F26" s="103"/>
      <c r="G26" s="103"/>
      <c r="H26" s="25">
        <f t="shared" si="0"/>
        <v>0</v>
      </c>
      <c r="I26" s="103"/>
      <c r="J26" s="26" t="e">
        <f t="shared" si="1"/>
        <v>#DIV/0!</v>
      </c>
      <c r="K26" s="30">
        <f t="shared" si="2"/>
        <v>0</v>
      </c>
      <c r="L26" s="28">
        <f t="shared" si="3"/>
        <v>0</v>
      </c>
      <c r="M26" s="30">
        <f t="shared" si="4"/>
        <v>0</v>
      </c>
      <c r="N26" s="31">
        <f t="shared" si="5"/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 outlineLevel="1" x14ac:dyDescent="0.35">
      <c r="A27" s="14">
        <f t="shared" si="6"/>
        <v>21</v>
      </c>
      <c r="B27" s="99"/>
      <c r="C27" s="100"/>
      <c r="D27" s="101"/>
      <c r="E27" s="102"/>
      <c r="F27" s="103"/>
      <c r="G27" s="103"/>
      <c r="H27" s="25">
        <f t="shared" si="0"/>
        <v>0</v>
      </c>
      <c r="I27" s="103"/>
      <c r="J27" s="26" t="e">
        <f t="shared" si="1"/>
        <v>#DIV/0!</v>
      </c>
      <c r="K27" s="30">
        <f t="shared" si="2"/>
        <v>0</v>
      </c>
      <c r="L27" s="28">
        <f t="shared" si="3"/>
        <v>0</v>
      </c>
      <c r="M27" s="30">
        <f t="shared" si="4"/>
        <v>0</v>
      </c>
      <c r="N27" s="31">
        <f t="shared" si="5"/>
        <v>0</v>
      </c>
      <c r="O27" s="34"/>
      <c r="P27" s="34"/>
      <c r="Q27" s="2"/>
      <c r="R27" s="2"/>
      <c r="S27" s="2"/>
      <c r="T27" s="34"/>
      <c r="U27" s="34"/>
      <c r="V27" s="34"/>
      <c r="W27" s="34"/>
      <c r="X27" s="34"/>
      <c r="Y27" s="34"/>
      <c r="Z27" s="34"/>
    </row>
    <row r="28" spans="1:26" ht="15.75" customHeight="1" outlineLevel="1" x14ac:dyDescent="0.35">
      <c r="A28" s="14">
        <f t="shared" si="6"/>
        <v>22</v>
      </c>
      <c r="B28" s="99"/>
      <c r="C28" s="100"/>
      <c r="D28" s="101"/>
      <c r="E28" s="102"/>
      <c r="F28" s="103"/>
      <c r="G28" s="103"/>
      <c r="H28" s="25">
        <f t="shared" si="0"/>
        <v>0</v>
      </c>
      <c r="I28" s="103"/>
      <c r="J28" s="26" t="e">
        <f t="shared" si="1"/>
        <v>#DIV/0!</v>
      </c>
      <c r="K28" s="30">
        <f t="shared" si="2"/>
        <v>0</v>
      </c>
      <c r="L28" s="28">
        <f t="shared" si="3"/>
        <v>0</v>
      </c>
      <c r="M28" s="30">
        <f t="shared" si="4"/>
        <v>0</v>
      </c>
      <c r="N28" s="31">
        <f t="shared" si="5"/>
        <v>0</v>
      </c>
      <c r="O28" s="34"/>
      <c r="P28" s="34"/>
      <c r="Q28" s="2"/>
      <c r="R28" s="2"/>
      <c r="S28" s="2"/>
      <c r="T28" s="34"/>
      <c r="U28" s="34"/>
      <c r="V28" s="34"/>
      <c r="W28" s="34"/>
      <c r="X28" s="34"/>
      <c r="Y28" s="34"/>
      <c r="Z28" s="34"/>
    </row>
    <row r="29" spans="1:26" ht="15.75" customHeight="1" outlineLevel="1" x14ac:dyDescent="0.35">
      <c r="A29" s="14">
        <f t="shared" si="6"/>
        <v>23</v>
      </c>
      <c r="B29" s="99"/>
      <c r="C29" s="100"/>
      <c r="D29" s="101"/>
      <c r="E29" s="102"/>
      <c r="F29" s="103"/>
      <c r="G29" s="103"/>
      <c r="H29" s="25">
        <f t="shared" si="0"/>
        <v>0</v>
      </c>
      <c r="I29" s="103"/>
      <c r="J29" s="26" t="e">
        <f t="shared" si="1"/>
        <v>#DIV/0!</v>
      </c>
      <c r="K29" s="30">
        <f t="shared" si="2"/>
        <v>0</v>
      </c>
      <c r="L29" s="28">
        <f t="shared" si="3"/>
        <v>0</v>
      </c>
      <c r="M29" s="30">
        <f t="shared" si="4"/>
        <v>0</v>
      </c>
      <c r="N29" s="31">
        <f t="shared" si="5"/>
        <v>0</v>
      </c>
      <c r="O29" s="34"/>
      <c r="P29" s="34"/>
      <c r="Q29" s="2"/>
      <c r="R29" s="2"/>
      <c r="S29" s="2"/>
      <c r="T29" s="34"/>
      <c r="U29" s="34"/>
      <c r="V29" s="34"/>
      <c r="W29" s="34"/>
      <c r="X29" s="34"/>
      <c r="Y29" s="34"/>
      <c r="Z29" s="34"/>
    </row>
    <row r="30" spans="1:26" ht="15.75" customHeight="1" outlineLevel="1" x14ac:dyDescent="0.35">
      <c r="A30" s="14">
        <f t="shared" si="6"/>
        <v>24</v>
      </c>
      <c r="B30" s="99"/>
      <c r="C30" s="100"/>
      <c r="D30" s="101"/>
      <c r="E30" s="102"/>
      <c r="F30" s="103"/>
      <c r="G30" s="103"/>
      <c r="H30" s="25">
        <f t="shared" si="0"/>
        <v>0</v>
      </c>
      <c r="I30" s="103"/>
      <c r="J30" s="26" t="e">
        <f t="shared" si="1"/>
        <v>#DIV/0!</v>
      </c>
      <c r="K30" s="30">
        <f t="shared" si="2"/>
        <v>0</v>
      </c>
      <c r="L30" s="28">
        <f t="shared" si="3"/>
        <v>0</v>
      </c>
      <c r="M30" s="30">
        <f t="shared" si="4"/>
        <v>0</v>
      </c>
      <c r="N30" s="31">
        <f t="shared" si="5"/>
        <v>0</v>
      </c>
      <c r="O30" s="34"/>
      <c r="P30" s="34"/>
      <c r="Q30" s="2"/>
      <c r="R30" s="2"/>
      <c r="S30" s="2"/>
      <c r="T30" s="34"/>
      <c r="U30" s="34"/>
      <c r="V30" s="34"/>
      <c r="W30" s="34"/>
      <c r="X30" s="34"/>
      <c r="Y30" s="34"/>
      <c r="Z30" s="34"/>
    </row>
    <row r="31" spans="1:26" ht="15.75" customHeight="1" outlineLevel="1" x14ac:dyDescent="0.35">
      <c r="A31" s="14">
        <f t="shared" si="6"/>
        <v>25</v>
      </c>
      <c r="B31" s="99"/>
      <c r="C31" s="100"/>
      <c r="D31" s="101"/>
      <c r="E31" s="102"/>
      <c r="F31" s="103"/>
      <c r="G31" s="103"/>
      <c r="H31" s="25">
        <f t="shared" si="0"/>
        <v>0</v>
      </c>
      <c r="I31" s="103"/>
      <c r="J31" s="26" t="e">
        <f t="shared" si="1"/>
        <v>#DIV/0!</v>
      </c>
      <c r="K31" s="30">
        <f t="shared" si="2"/>
        <v>0</v>
      </c>
      <c r="L31" s="28">
        <f t="shared" si="3"/>
        <v>0</v>
      </c>
      <c r="M31" s="30">
        <f t="shared" si="4"/>
        <v>0</v>
      </c>
      <c r="N31" s="31">
        <f t="shared" si="5"/>
        <v>0</v>
      </c>
      <c r="O31" s="34"/>
      <c r="P31" s="34"/>
      <c r="Q31" s="2"/>
      <c r="R31" s="2"/>
      <c r="S31" s="2"/>
      <c r="T31" s="34"/>
      <c r="U31" s="34"/>
      <c r="V31" s="34"/>
      <c r="W31" s="34"/>
      <c r="X31" s="34"/>
      <c r="Y31" s="34"/>
      <c r="Z31" s="34"/>
    </row>
    <row r="32" spans="1:26" ht="15.75" customHeight="1" outlineLevel="1" x14ac:dyDescent="0.35">
      <c r="A32" s="14">
        <f t="shared" si="6"/>
        <v>26</v>
      </c>
      <c r="B32" s="99"/>
      <c r="C32" s="100"/>
      <c r="D32" s="101"/>
      <c r="E32" s="102"/>
      <c r="F32" s="103"/>
      <c r="G32" s="103"/>
      <c r="H32" s="25">
        <f t="shared" si="0"/>
        <v>0</v>
      </c>
      <c r="I32" s="103"/>
      <c r="J32" s="26" t="e">
        <f t="shared" si="1"/>
        <v>#DIV/0!</v>
      </c>
      <c r="K32" s="30">
        <f t="shared" si="2"/>
        <v>0</v>
      </c>
      <c r="L32" s="28">
        <f t="shared" si="3"/>
        <v>0</v>
      </c>
      <c r="M32" s="30">
        <f t="shared" si="4"/>
        <v>0</v>
      </c>
      <c r="N32" s="31">
        <f t="shared" si="5"/>
        <v>0</v>
      </c>
      <c r="O32" s="34"/>
      <c r="P32" s="34"/>
      <c r="Q32" s="2"/>
      <c r="R32" s="2"/>
      <c r="S32" s="2"/>
      <c r="T32" s="34"/>
      <c r="U32" s="34"/>
      <c r="V32" s="34"/>
      <c r="W32" s="34"/>
      <c r="X32" s="34"/>
      <c r="Y32" s="34"/>
      <c r="Z32" s="34"/>
    </row>
    <row r="33" spans="1:26" ht="15.75" customHeight="1" outlineLevel="1" x14ac:dyDescent="0.35">
      <c r="A33" s="14">
        <f t="shared" si="6"/>
        <v>27</v>
      </c>
      <c r="B33" s="99"/>
      <c r="C33" s="100"/>
      <c r="D33" s="101"/>
      <c r="E33" s="102"/>
      <c r="F33" s="103"/>
      <c r="G33" s="103"/>
      <c r="H33" s="25">
        <f t="shared" si="0"/>
        <v>0</v>
      </c>
      <c r="I33" s="103"/>
      <c r="J33" s="26" t="e">
        <f t="shared" si="1"/>
        <v>#DIV/0!</v>
      </c>
      <c r="K33" s="30">
        <f t="shared" si="2"/>
        <v>0</v>
      </c>
      <c r="L33" s="28">
        <f t="shared" si="3"/>
        <v>0</v>
      </c>
      <c r="M33" s="30">
        <f t="shared" si="4"/>
        <v>0</v>
      </c>
      <c r="N33" s="31">
        <f t="shared" si="5"/>
        <v>0</v>
      </c>
      <c r="O33" s="34"/>
      <c r="P33" s="34"/>
      <c r="Q33" s="2"/>
      <c r="R33" s="2"/>
      <c r="S33" s="2"/>
      <c r="T33" s="34"/>
      <c r="U33" s="34"/>
      <c r="V33" s="34"/>
      <c r="W33" s="34"/>
      <c r="X33" s="34"/>
      <c r="Y33" s="34"/>
      <c r="Z33" s="34"/>
    </row>
    <row r="34" spans="1:26" ht="15.75" customHeight="1" outlineLevel="1" x14ac:dyDescent="0.35">
      <c r="A34" s="14">
        <f t="shared" si="6"/>
        <v>28</v>
      </c>
      <c r="B34" s="99"/>
      <c r="C34" s="100"/>
      <c r="D34" s="101"/>
      <c r="E34" s="102"/>
      <c r="F34" s="103"/>
      <c r="G34" s="103"/>
      <c r="H34" s="25">
        <f t="shared" si="0"/>
        <v>0</v>
      </c>
      <c r="I34" s="103"/>
      <c r="J34" s="26" t="e">
        <f t="shared" si="1"/>
        <v>#DIV/0!</v>
      </c>
      <c r="K34" s="30">
        <f t="shared" si="2"/>
        <v>0</v>
      </c>
      <c r="L34" s="28">
        <f t="shared" si="3"/>
        <v>0</v>
      </c>
      <c r="M34" s="30">
        <f t="shared" si="4"/>
        <v>0</v>
      </c>
      <c r="N34" s="31">
        <f t="shared" si="5"/>
        <v>0</v>
      </c>
      <c r="O34" s="34"/>
      <c r="P34" s="34"/>
      <c r="Q34" s="2"/>
      <c r="R34" s="2"/>
      <c r="S34" s="2"/>
      <c r="T34" s="34"/>
      <c r="U34" s="34"/>
      <c r="V34" s="34"/>
      <c r="W34" s="34"/>
      <c r="X34" s="34"/>
      <c r="Y34" s="34"/>
      <c r="Z34" s="34"/>
    </row>
    <row r="35" spans="1:26" ht="15.75" customHeight="1" outlineLevel="1" x14ac:dyDescent="0.35">
      <c r="A35" s="14">
        <f t="shared" si="6"/>
        <v>29</v>
      </c>
      <c r="B35" s="99"/>
      <c r="C35" s="100"/>
      <c r="D35" s="101"/>
      <c r="E35" s="102"/>
      <c r="F35" s="103"/>
      <c r="G35" s="103"/>
      <c r="H35" s="25">
        <f t="shared" si="0"/>
        <v>0</v>
      </c>
      <c r="I35" s="103"/>
      <c r="J35" s="26" t="e">
        <f t="shared" si="1"/>
        <v>#DIV/0!</v>
      </c>
      <c r="K35" s="30">
        <f t="shared" si="2"/>
        <v>0</v>
      </c>
      <c r="L35" s="28">
        <f t="shared" si="3"/>
        <v>0</v>
      </c>
      <c r="M35" s="30">
        <f t="shared" si="4"/>
        <v>0</v>
      </c>
      <c r="N35" s="31">
        <f t="shared" si="5"/>
        <v>0</v>
      </c>
      <c r="O35" s="34"/>
      <c r="P35" s="34"/>
      <c r="Q35" s="2"/>
      <c r="R35" s="2"/>
      <c r="S35" s="2"/>
      <c r="T35" s="34"/>
      <c r="U35" s="34"/>
      <c r="V35" s="34"/>
      <c r="W35" s="34"/>
      <c r="X35" s="34"/>
      <c r="Y35" s="34"/>
      <c r="Z35" s="34"/>
    </row>
    <row r="36" spans="1:26" ht="15.75" customHeight="1" outlineLevel="1" x14ac:dyDescent="0.35">
      <c r="A36" s="14">
        <f t="shared" si="6"/>
        <v>30</v>
      </c>
      <c r="B36" s="99"/>
      <c r="C36" s="100"/>
      <c r="D36" s="101"/>
      <c r="E36" s="102"/>
      <c r="F36" s="103"/>
      <c r="G36" s="103"/>
      <c r="H36" s="25">
        <f t="shared" si="0"/>
        <v>0</v>
      </c>
      <c r="I36" s="103"/>
      <c r="J36" s="26" t="e">
        <f t="shared" si="1"/>
        <v>#DIV/0!</v>
      </c>
      <c r="K36" s="30">
        <f t="shared" si="2"/>
        <v>0</v>
      </c>
      <c r="L36" s="28">
        <f t="shared" si="3"/>
        <v>0</v>
      </c>
      <c r="M36" s="30">
        <f t="shared" si="4"/>
        <v>0</v>
      </c>
      <c r="N36" s="31">
        <f t="shared" si="5"/>
        <v>0</v>
      </c>
      <c r="O36" s="34"/>
      <c r="P36" s="34"/>
      <c r="Q36" s="2"/>
      <c r="R36" s="2"/>
      <c r="S36" s="2"/>
      <c r="T36" s="34"/>
      <c r="U36" s="34"/>
      <c r="V36" s="34"/>
      <c r="W36" s="34"/>
      <c r="X36" s="34"/>
      <c r="Y36" s="34"/>
      <c r="Z36" s="34"/>
    </row>
    <row r="37" spans="1:26" ht="15.75" customHeight="1" outlineLevel="1" x14ac:dyDescent="0.35">
      <c r="A37" s="14">
        <f t="shared" si="6"/>
        <v>31</v>
      </c>
      <c r="B37" s="99"/>
      <c r="C37" s="100"/>
      <c r="D37" s="101"/>
      <c r="E37" s="102"/>
      <c r="F37" s="103"/>
      <c r="G37" s="103"/>
      <c r="H37" s="25">
        <f t="shared" si="0"/>
        <v>0</v>
      </c>
      <c r="I37" s="103"/>
      <c r="J37" s="26" t="e">
        <f t="shared" si="1"/>
        <v>#DIV/0!</v>
      </c>
      <c r="K37" s="30">
        <f t="shared" si="2"/>
        <v>0</v>
      </c>
      <c r="L37" s="28">
        <f t="shared" si="3"/>
        <v>0</v>
      </c>
      <c r="M37" s="30">
        <f t="shared" si="4"/>
        <v>0</v>
      </c>
      <c r="N37" s="31">
        <f t="shared" si="5"/>
        <v>0</v>
      </c>
      <c r="O37" s="34"/>
      <c r="P37" s="34"/>
      <c r="Q37" s="2"/>
      <c r="R37" s="2"/>
      <c r="S37" s="2"/>
      <c r="T37" s="34"/>
      <c r="U37" s="34"/>
      <c r="V37" s="34"/>
      <c r="W37" s="34"/>
      <c r="X37" s="34"/>
      <c r="Y37" s="34"/>
      <c r="Z37" s="34"/>
    </row>
    <row r="38" spans="1:26" ht="15.75" customHeight="1" outlineLevel="1" x14ac:dyDescent="0.35">
      <c r="A38" s="14">
        <f t="shared" si="6"/>
        <v>32</v>
      </c>
      <c r="B38" s="99"/>
      <c r="C38" s="100"/>
      <c r="D38" s="101"/>
      <c r="E38" s="102"/>
      <c r="F38" s="103"/>
      <c r="G38" s="103"/>
      <c r="H38" s="25">
        <f t="shared" si="0"/>
        <v>0</v>
      </c>
      <c r="I38" s="103"/>
      <c r="J38" s="26" t="e">
        <f t="shared" si="1"/>
        <v>#DIV/0!</v>
      </c>
      <c r="K38" s="30">
        <f t="shared" si="2"/>
        <v>0</v>
      </c>
      <c r="L38" s="28">
        <f t="shared" si="3"/>
        <v>0</v>
      </c>
      <c r="M38" s="30">
        <f t="shared" si="4"/>
        <v>0</v>
      </c>
      <c r="N38" s="31">
        <f t="shared" si="5"/>
        <v>0</v>
      </c>
      <c r="O38" s="34"/>
      <c r="P38" s="34"/>
      <c r="Q38" s="2"/>
      <c r="R38" s="2"/>
      <c r="S38" s="2"/>
      <c r="T38" s="34"/>
      <c r="U38" s="34"/>
      <c r="V38" s="34"/>
      <c r="W38" s="34"/>
      <c r="X38" s="34"/>
      <c r="Y38" s="34"/>
      <c r="Z38" s="34"/>
    </row>
    <row r="39" spans="1:26" ht="15.75" customHeight="1" outlineLevel="1" x14ac:dyDescent="0.35">
      <c r="A39" s="14">
        <f t="shared" si="6"/>
        <v>33</v>
      </c>
      <c r="B39" s="99"/>
      <c r="C39" s="100"/>
      <c r="D39" s="101"/>
      <c r="E39" s="102"/>
      <c r="F39" s="103"/>
      <c r="G39" s="103"/>
      <c r="H39" s="25">
        <f t="shared" si="0"/>
        <v>0</v>
      </c>
      <c r="I39" s="103"/>
      <c r="J39" s="26" t="e">
        <f t="shared" si="1"/>
        <v>#DIV/0!</v>
      </c>
      <c r="K39" s="30">
        <f t="shared" si="2"/>
        <v>0</v>
      </c>
      <c r="L39" s="28">
        <f t="shared" si="3"/>
        <v>0</v>
      </c>
      <c r="M39" s="30">
        <f t="shared" si="4"/>
        <v>0</v>
      </c>
      <c r="N39" s="31">
        <f t="shared" si="5"/>
        <v>0</v>
      </c>
      <c r="O39" s="34"/>
      <c r="P39" s="34"/>
      <c r="Q39" s="2"/>
      <c r="R39" s="2"/>
      <c r="S39" s="2"/>
      <c r="T39" s="34"/>
      <c r="U39" s="34"/>
      <c r="V39" s="34"/>
      <c r="W39" s="34"/>
      <c r="X39" s="34"/>
      <c r="Y39" s="34"/>
      <c r="Z39" s="34"/>
    </row>
    <row r="40" spans="1:26" ht="15.75" customHeight="1" outlineLevel="1" x14ac:dyDescent="0.35">
      <c r="A40" s="14">
        <f t="shared" si="6"/>
        <v>34</v>
      </c>
      <c r="B40" s="99"/>
      <c r="C40" s="100"/>
      <c r="D40" s="101"/>
      <c r="E40" s="102"/>
      <c r="F40" s="103"/>
      <c r="G40" s="103"/>
      <c r="H40" s="25">
        <f t="shared" si="0"/>
        <v>0</v>
      </c>
      <c r="I40" s="103"/>
      <c r="J40" s="26" t="e">
        <f t="shared" si="1"/>
        <v>#DIV/0!</v>
      </c>
      <c r="K40" s="30">
        <f t="shared" si="2"/>
        <v>0</v>
      </c>
      <c r="L40" s="28">
        <f t="shared" si="3"/>
        <v>0</v>
      </c>
      <c r="M40" s="30">
        <f t="shared" si="4"/>
        <v>0</v>
      </c>
      <c r="N40" s="31">
        <f t="shared" si="5"/>
        <v>0</v>
      </c>
      <c r="O40" s="34"/>
      <c r="P40" s="34"/>
      <c r="Q40" s="2"/>
      <c r="R40" s="2"/>
      <c r="S40" s="2"/>
      <c r="T40" s="34"/>
      <c r="U40" s="34"/>
      <c r="V40" s="34"/>
      <c r="W40" s="34"/>
      <c r="X40" s="34"/>
      <c r="Y40" s="34"/>
      <c r="Z40" s="34"/>
    </row>
    <row r="41" spans="1:26" ht="15.75" customHeight="1" outlineLevel="1" x14ac:dyDescent="0.35">
      <c r="A41" s="14">
        <f t="shared" si="6"/>
        <v>35</v>
      </c>
      <c r="B41" s="99"/>
      <c r="C41" s="100"/>
      <c r="D41" s="101"/>
      <c r="E41" s="102"/>
      <c r="F41" s="103"/>
      <c r="G41" s="103"/>
      <c r="H41" s="25">
        <f t="shared" si="0"/>
        <v>0</v>
      </c>
      <c r="I41" s="103"/>
      <c r="J41" s="26" t="e">
        <f t="shared" si="1"/>
        <v>#DIV/0!</v>
      </c>
      <c r="K41" s="30">
        <f t="shared" si="2"/>
        <v>0</v>
      </c>
      <c r="L41" s="28">
        <f t="shared" si="3"/>
        <v>0</v>
      </c>
      <c r="M41" s="30">
        <f t="shared" si="4"/>
        <v>0</v>
      </c>
      <c r="N41" s="31">
        <f t="shared" si="5"/>
        <v>0</v>
      </c>
      <c r="O41" s="34"/>
      <c r="P41" s="34"/>
      <c r="Q41" s="2"/>
      <c r="R41" s="2"/>
      <c r="S41" s="2"/>
      <c r="T41" s="34"/>
      <c r="U41" s="34"/>
      <c r="V41" s="34"/>
      <c r="W41" s="34"/>
      <c r="X41" s="34"/>
      <c r="Y41" s="34"/>
      <c r="Z41" s="34"/>
    </row>
    <row r="42" spans="1:26" ht="15.75" customHeight="1" outlineLevel="1" x14ac:dyDescent="0.35">
      <c r="A42" s="14">
        <f t="shared" si="6"/>
        <v>36</v>
      </c>
      <c r="B42" s="99"/>
      <c r="C42" s="100"/>
      <c r="D42" s="101"/>
      <c r="E42" s="102"/>
      <c r="F42" s="103"/>
      <c r="G42" s="103"/>
      <c r="H42" s="25">
        <f t="shared" si="0"/>
        <v>0</v>
      </c>
      <c r="I42" s="103"/>
      <c r="J42" s="26" t="e">
        <f t="shared" si="1"/>
        <v>#DIV/0!</v>
      </c>
      <c r="K42" s="30">
        <f t="shared" si="2"/>
        <v>0</v>
      </c>
      <c r="L42" s="28">
        <f t="shared" si="3"/>
        <v>0</v>
      </c>
      <c r="M42" s="30">
        <f t="shared" si="4"/>
        <v>0</v>
      </c>
      <c r="N42" s="31">
        <f t="shared" si="5"/>
        <v>0</v>
      </c>
      <c r="O42" s="34"/>
      <c r="P42" s="34"/>
      <c r="Q42" s="2"/>
      <c r="R42" s="2"/>
      <c r="S42" s="2"/>
      <c r="T42" s="34"/>
      <c r="U42" s="34"/>
      <c r="V42" s="34"/>
      <c r="W42" s="34"/>
      <c r="X42" s="34"/>
      <c r="Y42" s="34"/>
      <c r="Z42" s="34"/>
    </row>
    <row r="43" spans="1:26" ht="15.75" customHeight="1" outlineLevel="1" x14ac:dyDescent="0.35">
      <c r="A43" s="14">
        <f t="shared" si="6"/>
        <v>37</v>
      </c>
      <c r="B43" s="99"/>
      <c r="C43" s="100"/>
      <c r="D43" s="101"/>
      <c r="E43" s="102"/>
      <c r="F43" s="103"/>
      <c r="G43" s="103"/>
      <c r="H43" s="25">
        <f t="shared" si="0"/>
        <v>0</v>
      </c>
      <c r="I43" s="103"/>
      <c r="J43" s="26" t="e">
        <f t="shared" si="1"/>
        <v>#DIV/0!</v>
      </c>
      <c r="K43" s="30">
        <f t="shared" si="2"/>
        <v>0</v>
      </c>
      <c r="L43" s="28">
        <f t="shared" si="3"/>
        <v>0</v>
      </c>
      <c r="M43" s="30">
        <f t="shared" si="4"/>
        <v>0</v>
      </c>
      <c r="N43" s="31">
        <f t="shared" si="5"/>
        <v>0</v>
      </c>
      <c r="O43" s="34"/>
      <c r="P43" s="34"/>
      <c r="Q43" s="2"/>
      <c r="R43" s="2"/>
      <c r="S43" s="2"/>
      <c r="T43" s="34"/>
      <c r="U43" s="34"/>
      <c r="V43" s="34"/>
      <c r="W43" s="34"/>
      <c r="X43" s="34"/>
      <c r="Y43" s="34"/>
      <c r="Z43" s="34"/>
    </row>
    <row r="44" spans="1:26" ht="15.75" customHeight="1" outlineLevel="1" x14ac:dyDescent="0.35">
      <c r="A44" s="14">
        <f t="shared" si="6"/>
        <v>38</v>
      </c>
      <c r="B44" s="99"/>
      <c r="C44" s="100"/>
      <c r="D44" s="101"/>
      <c r="E44" s="102"/>
      <c r="F44" s="103"/>
      <c r="G44" s="103"/>
      <c r="H44" s="25">
        <f t="shared" si="0"/>
        <v>0</v>
      </c>
      <c r="I44" s="103"/>
      <c r="J44" s="26" t="e">
        <f t="shared" si="1"/>
        <v>#DIV/0!</v>
      </c>
      <c r="K44" s="30">
        <f t="shared" si="2"/>
        <v>0</v>
      </c>
      <c r="L44" s="28">
        <f t="shared" si="3"/>
        <v>0</v>
      </c>
      <c r="M44" s="30">
        <f t="shared" si="4"/>
        <v>0</v>
      </c>
      <c r="N44" s="31">
        <f t="shared" si="5"/>
        <v>0</v>
      </c>
      <c r="O44" s="34"/>
      <c r="P44" s="34"/>
      <c r="Q44" s="2"/>
      <c r="R44" s="2"/>
      <c r="S44" s="2"/>
      <c r="T44" s="34"/>
      <c r="U44" s="34"/>
      <c r="V44" s="34"/>
      <c r="W44" s="34"/>
      <c r="X44" s="34"/>
      <c r="Y44" s="34"/>
      <c r="Z44" s="34"/>
    </row>
    <row r="45" spans="1:26" ht="15.75" customHeight="1" outlineLevel="1" x14ac:dyDescent="0.35">
      <c r="A45" s="14">
        <f t="shared" si="6"/>
        <v>39</v>
      </c>
      <c r="B45" s="99"/>
      <c r="C45" s="100"/>
      <c r="D45" s="101"/>
      <c r="E45" s="102"/>
      <c r="F45" s="103"/>
      <c r="G45" s="103"/>
      <c r="H45" s="25">
        <f t="shared" si="0"/>
        <v>0</v>
      </c>
      <c r="I45" s="103"/>
      <c r="J45" s="26" t="e">
        <f t="shared" si="1"/>
        <v>#DIV/0!</v>
      </c>
      <c r="K45" s="30">
        <f t="shared" si="2"/>
        <v>0</v>
      </c>
      <c r="L45" s="28">
        <f t="shared" si="3"/>
        <v>0</v>
      </c>
      <c r="M45" s="30">
        <f t="shared" si="4"/>
        <v>0</v>
      </c>
      <c r="N45" s="31">
        <f t="shared" si="5"/>
        <v>0</v>
      </c>
      <c r="O45" s="34"/>
      <c r="P45" s="34"/>
      <c r="Q45" s="2"/>
      <c r="R45" s="2"/>
      <c r="S45" s="2"/>
      <c r="T45" s="34"/>
      <c r="U45" s="34"/>
      <c r="V45" s="34"/>
      <c r="W45" s="34"/>
      <c r="X45" s="34"/>
      <c r="Y45" s="34"/>
      <c r="Z45" s="34"/>
    </row>
    <row r="46" spans="1:26" ht="15.75" customHeight="1" outlineLevel="1" thickBot="1" x14ac:dyDescent="0.4">
      <c r="A46" s="14">
        <f t="shared" si="6"/>
        <v>40</v>
      </c>
      <c r="B46" s="99"/>
      <c r="C46" s="100"/>
      <c r="D46" s="101"/>
      <c r="E46" s="102"/>
      <c r="F46" s="103"/>
      <c r="G46" s="103"/>
      <c r="H46" s="25">
        <f t="shared" si="0"/>
        <v>0</v>
      </c>
      <c r="I46" s="103"/>
      <c r="J46" s="26" t="e">
        <f t="shared" si="1"/>
        <v>#DIV/0!</v>
      </c>
      <c r="K46" s="30">
        <f t="shared" si="2"/>
        <v>0</v>
      </c>
      <c r="L46" s="28">
        <f t="shared" si="3"/>
        <v>0</v>
      </c>
      <c r="M46" s="30">
        <f t="shared" si="4"/>
        <v>0</v>
      </c>
      <c r="N46" s="31">
        <f t="shared" si="5"/>
        <v>0</v>
      </c>
      <c r="O46" s="34"/>
      <c r="P46" s="34"/>
      <c r="Q46" s="2"/>
      <c r="R46" s="2"/>
      <c r="S46" s="2"/>
      <c r="T46" s="34"/>
      <c r="U46" s="34"/>
      <c r="V46" s="34"/>
      <c r="W46" s="34"/>
      <c r="X46" s="34"/>
      <c r="Y46" s="34"/>
      <c r="Z46" s="34"/>
    </row>
    <row r="47" spans="1:26" ht="15.75" customHeight="1" thickBot="1" x14ac:dyDescent="0.4">
      <c r="A47" s="15"/>
      <c r="B47" s="16"/>
      <c r="C47" s="17"/>
      <c r="D47" s="18" t="s">
        <v>16</v>
      </c>
      <c r="E47" s="19">
        <f t="shared" ref="E47:I47" si="7">SUM(E7:E46)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1" t="e">
        <f t="shared" si="1"/>
        <v>#DIV/0!</v>
      </c>
      <c r="K47" s="22">
        <f t="shared" ref="K47:N47" si="8">SUM(K7:K46)</f>
        <v>0</v>
      </c>
      <c r="L47" s="19">
        <f t="shared" si="8"/>
        <v>0</v>
      </c>
      <c r="M47" s="22">
        <f t="shared" si="8"/>
        <v>0</v>
      </c>
      <c r="N47" s="23">
        <f t="shared" si="8"/>
        <v>0</v>
      </c>
      <c r="O47" s="72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 thickBot="1" x14ac:dyDescent="0.4">
      <c r="A48" s="73"/>
      <c r="B48" s="74"/>
      <c r="C48" s="75"/>
      <c r="D48" s="75"/>
      <c r="E48" s="75"/>
      <c r="F48" s="75"/>
      <c r="G48" s="75"/>
      <c r="H48" s="75"/>
      <c r="I48" s="75"/>
      <c r="J48" s="76"/>
      <c r="K48" s="75"/>
      <c r="L48" s="75"/>
      <c r="M48" s="75"/>
      <c r="N48" s="75"/>
      <c r="O48" s="72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 x14ac:dyDescent="0.35">
      <c r="A49" s="73"/>
      <c r="B49" s="32" t="s">
        <v>17</v>
      </c>
      <c r="C49" s="33">
        <f>N47*0.13</f>
        <v>0</v>
      </c>
      <c r="D49" s="75"/>
      <c r="E49" s="75"/>
      <c r="F49" s="75"/>
      <c r="G49" s="75"/>
      <c r="H49" s="75"/>
      <c r="I49" s="75"/>
      <c r="J49" s="76"/>
      <c r="K49" s="75"/>
      <c r="L49" s="75"/>
      <c r="M49" s="75"/>
      <c r="N49" s="75"/>
      <c r="O49" s="72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 x14ac:dyDescent="0.35">
      <c r="A50" s="73"/>
      <c r="B50" s="74"/>
      <c r="C50" s="75"/>
      <c r="D50" s="75"/>
      <c r="E50" s="75"/>
      <c r="F50" s="75"/>
      <c r="G50" s="75"/>
      <c r="H50" s="75"/>
      <c r="I50" s="75"/>
      <c r="J50" s="76"/>
      <c r="K50" s="75"/>
      <c r="L50" s="75"/>
      <c r="M50" s="75"/>
      <c r="N50" s="75"/>
      <c r="O50" s="72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8.75" customHeight="1" x14ac:dyDescent="0.35">
      <c r="A51" s="77"/>
      <c r="B51" s="128" t="s">
        <v>18</v>
      </c>
      <c r="C51" s="129"/>
      <c r="D51" s="130"/>
      <c r="E51" s="34"/>
      <c r="F51" s="34"/>
      <c r="G51" s="34"/>
      <c r="H51" s="34"/>
      <c r="I51" s="117" t="s">
        <v>19</v>
      </c>
      <c r="J51" s="109"/>
      <c r="K51" s="109"/>
      <c r="L51" s="109"/>
      <c r="M51" s="110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8.5" x14ac:dyDescent="0.35">
      <c r="A52" s="77"/>
      <c r="B52" s="131" t="s">
        <v>20</v>
      </c>
      <c r="C52" s="129"/>
      <c r="D52" s="130"/>
      <c r="E52" s="34"/>
      <c r="F52" s="34"/>
      <c r="G52" s="34"/>
      <c r="H52" s="34"/>
      <c r="I52" s="118" t="s">
        <v>21</v>
      </c>
      <c r="J52" s="109"/>
      <c r="K52" s="109"/>
      <c r="L52" s="109"/>
      <c r="M52" s="110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33" customHeight="1" x14ac:dyDescent="0.5">
      <c r="A53" s="78"/>
      <c r="B53" s="35" t="s">
        <v>22</v>
      </c>
      <c r="C53" s="53" t="s">
        <v>25</v>
      </c>
      <c r="D53" s="52" t="s">
        <v>23</v>
      </c>
      <c r="E53" s="36"/>
      <c r="F53" s="70"/>
      <c r="G53" s="2"/>
      <c r="H53" s="76"/>
      <c r="I53" s="119" t="s">
        <v>24</v>
      </c>
      <c r="J53" s="109"/>
      <c r="K53" s="109"/>
      <c r="L53" s="110"/>
      <c r="M53" s="58" t="s">
        <v>25</v>
      </c>
      <c r="N53" s="2"/>
      <c r="O53" s="2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 x14ac:dyDescent="0.35">
      <c r="A54" s="78"/>
      <c r="B54" s="37" t="s">
        <v>26</v>
      </c>
      <c r="C54" s="38">
        <f>N47+C49</f>
        <v>0</v>
      </c>
      <c r="D54" s="39"/>
      <c r="E54" s="2"/>
      <c r="F54" s="34"/>
      <c r="G54" s="2"/>
      <c r="H54" s="76"/>
      <c r="I54" s="105"/>
      <c r="J54" s="106"/>
      <c r="K54" s="106"/>
      <c r="L54" s="107"/>
      <c r="M54" s="104"/>
      <c r="N54" s="2"/>
      <c r="O54" s="2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 x14ac:dyDescent="0.35">
      <c r="A55" s="78"/>
      <c r="B55" s="40" t="s">
        <v>27</v>
      </c>
      <c r="C55" s="41">
        <f>D55*C54</f>
        <v>0</v>
      </c>
      <c r="D55" s="42">
        <v>0.4</v>
      </c>
      <c r="E55" s="43" t="s">
        <v>28</v>
      </c>
      <c r="F55" s="79"/>
      <c r="G55" s="79"/>
      <c r="H55" s="76"/>
      <c r="I55" s="105"/>
      <c r="J55" s="106"/>
      <c r="K55" s="106"/>
      <c r="L55" s="107"/>
      <c r="M55" s="104"/>
      <c r="N55" s="2"/>
      <c r="O55" s="2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 x14ac:dyDescent="0.35">
      <c r="A56" s="78"/>
      <c r="B56" s="40" t="s">
        <v>29</v>
      </c>
      <c r="C56" s="41">
        <f t="shared" ref="C56:D56" si="9">C55</f>
        <v>0</v>
      </c>
      <c r="D56" s="42">
        <f t="shared" si="9"/>
        <v>0.4</v>
      </c>
      <c r="E56" s="43" t="s">
        <v>28</v>
      </c>
      <c r="F56" s="79"/>
      <c r="G56" s="79"/>
      <c r="H56" s="76"/>
      <c r="I56" s="105"/>
      <c r="J56" s="106"/>
      <c r="K56" s="106"/>
      <c r="L56" s="107"/>
      <c r="M56" s="104"/>
      <c r="N56" s="2"/>
      <c r="O56" s="2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 x14ac:dyDescent="0.35">
      <c r="A57" s="78"/>
      <c r="B57" s="44" t="s">
        <v>30</v>
      </c>
      <c r="C57" s="45">
        <f>M47</f>
        <v>0</v>
      </c>
      <c r="D57" s="46" t="e">
        <f>C57/C54</f>
        <v>#DIV/0!</v>
      </c>
      <c r="E57" s="47" t="s">
        <v>31</v>
      </c>
      <c r="F57" s="34"/>
      <c r="G57" s="2"/>
      <c r="H57" s="76"/>
      <c r="I57" s="105"/>
      <c r="J57" s="106"/>
      <c r="K57" s="106"/>
      <c r="L57" s="107"/>
      <c r="M57" s="104"/>
      <c r="N57" s="2"/>
      <c r="O57" s="2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 x14ac:dyDescent="0.35">
      <c r="A58" s="78"/>
      <c r="B58" s="54" t="s">
        <v>32</v>
      </c>
      <c r="C58" s="55">
        <f>M59</f>
        <v>0</v>
      </c>
      <c r="D58" s="56" t="e">
        <f>C58/C54</f>
        <v>#DIV/0!</v>
      </c>
      <c r="E58" s="57" t="s">
        <v>33</v>
      </c>
      <c r="F58" s="80"/>
      <c r="G58" s="57"/>
      <c r="H58" s="76"/>
      <c r="I58" s="105"/>
      <c r="J58" s="106"/>
      <c r="K58" s="106"/>
      <c r="L58" s="107"/>
      <c r="M58" s="104"/>
      <c r="N58" s="2"/>
      <c r="O58" s="2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 x14ac:dyDescent="0.35">
      <c r="A59" s="78"/>
      <c r="B59" s="48" t="s">
        <v>34</v>
      </c>
      <c r="C59" s="49">
        <f>C54-C55-C56-C57-C58</f>
        <v>0</v>
      </c>
      <c r="D59" s="50"/>
      <c r="E59" s="57" t="s">
        <v>35</v>
      </c>
      <c r="F59" s="57"/>
      <c r="G59" s="57"/>
      <c r="H59" s="76"/>
      <c r="I59" s="108" t="s">
        <v>36</v>
      </c>
      <c r="J59" s="109"/>
      <c r="K59" s="109"/>
      <c r="L59" s="110"/>
      <c r="M59" s="55">
        <f>SUM(M54:M58)</f>
        <v>0</v>
      </c>
      <c r="N59" s="2"/>
      <c r="O59" s="2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 x14ac:dyDescent="0.35">
      <c r="A60" s="78"/>
      <c r="B60" s="111" t="s">
        <v>37</v>
      </c>
      <c r="C60" s="112"/>
      <c r="D60" s="113"/>
      <c r="E60" s="34"/>
      <c r="F60" s="34"/>
      <c r="G60" s="2"/>
      <c r="H60" s="76"/>
      <c r="I60" s="2"/>
      <c r="J60" s="2"/>
      <c r="K60" s="2"/>
      <c r="L60" s="2"/>
      <c r="M60" s="2"/>
      <c r="N60" s="2"/>
      <c r="O60" s="2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8.75" customHeight="1" x14ac:dyDescent="0.35">
      <c r="A61" s="77"/>
      <c r="B61" s="114"/>
      <c r="C61" s="115"/>
      <c r="D61" s="116"/>
      <c r="E61" s="3"/>
      <c r="F61" s="81"/>
      <c r="G61" s="82"/>
      <c r="H61" s="83"/>
      <c r="I61" s="3"/>
      <c r="J61" s="3"/>
      <c r="K61" s="3"/>
      <c r="L61" s="3"/>
      <c r="M61" s="3"/>
      <c r="N61" s="3"/>
      <c r="O61" s="3"/>
      <c r="P61" s="3"/>
      <c r="Q61" s="3"/>
      <c r="R61" s="3"/>
      <c r="S61" s="34"/>
      <c r="T61" s="34"/>
      <c r="U61" s="34"/>
      <c r="V61" s="34"/>
      <c r="W61" s="34"/>
      <c r="X61" s="34"/>
      <c r="Y61" s="34"/>
      <c r="Z61" s="34"/>
    </row>
    <row r="62" spans="1:26" ht="18.75" customHeight="1" x14ac:dyDescent="0.35">
      <c r="A62" s="84"/>
      <c r="B62" s="85"/>
      <c r="C62" s="86"/>
      <c r="D62" s="87"/>
      <c r="E62" s="87"/>
      <c r="F62" s="87"/>
      <c r="G62" s="88"/>
      <c r="H62" s="89"/>
      <c r="I62" s="87"/>
      <c r="J62" s="87"/>
      <c r="K62" s="87"/>
      <c r="L62" s="87"/>
      <c r="M62" s="87"/>
      <c r="N62" s="87"/>
      <c r="O62" s="87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8.75" customHeight="1" x14ac:dyDescent="0.35">
      <c r="A63" s="3"/>
      <c r="B63" s="90"/>
      <c r="C63" s="91"/>
      <c r="D63" s="3"/>
      <c r="E63" s="3"/>
      <c r="F63" s="3"/>
      <c r="G63" s="3"/>
      <c r="H63" s="92"/>
      <c r="I63" s="3"/>
      <c r="J63" s="3"/>
      <c r="K63" s="3"/>
      <c r="L63" s="3"/>
      <c r="M63" s="3"/>
      <c r="N63" s="3"/>
      <c r="O63" s="3"/>
      <c r="P63" s="81"/>
      <c r="Q63" s="81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8.75" customHeight="1" x14ac:dyDescent="0.35">
      <c r="A64" s="78"/>
      <c r="B64" s="90"/>
      <c r="C64" s="91"/>
      <c r="D64" s="2"/>
      <c r="E64" s="2"/>
      <c r="F64" s="2"/>
      <c r="G64" s="2"/>
      <c r="H64" s="76"/>
      <c r="I64" s="2"/>
      <c r="J64" s="2"/>
      <c r="K64" s="2"/>
      <c r="L64" s="2"/>
      <c r="M64" s="2"/>
      <c r="N64" s="2"/>
      <c r="O64" s="2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8.75" customHeight="1" x14ac:dyDescent="0.3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93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 x14ac:dyDescent="0.3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 x14ac:dyDescent="0.3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 x14ac:dyDescent="0.3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 x14ac:dyDescent="0.3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 x14ac:dyDescent="0.3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 x14ac:dyDescent="0.3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 x14ac:dyDescent="0.3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 x14ac:dyDescent="0.3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 x14ac:dyDescent="0.3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 x14ac:dyDescent="0.3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 x14ac:dyDescent="0.3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 x14ac:dyDescent="0.3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 x14ac:dyDescent="0.3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 x14ac:dyDescent="0.3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 x14ac:dyDescent="0.3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 x14ac:dyDescent="0.3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 x14ac:dyDescent="0.3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 x14ac:dyDescent="0.3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 x14ac:dyDescent="0.3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 x14ac:dyDescent="0.3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 x14ac:dyDescent="0.3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 x14ac:dyDescent="0.3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 x14ac:dyDescent="0.3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 x14ac:dyDescent="0.3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 x14ac:dyDescent="0.3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 x14ac:dyDescent="0.3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 x14ac:dyDescent="0.3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 x14ac:dyDescent="0.3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 x14ac:dyDescent="0.3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 x14ac:dyDescent="0.3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 x14ac:dyDescent="0.3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 x14ac:dyDescent="0.3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 x14ac:dyDescent="0.3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 x14ac:dyDescent="0.3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 x14ac:dyDescent="0.3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 x14ac:dyDescent="0.3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 x14ac:dyDescent="0.3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 x14ac:dyDescent="0.3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 x14ac:dyDescent="0.3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 x14ac:dyDescent="0.3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 x14ac:dyDescent="0.3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 x14ac:dyDescent="0.3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 x14ac:dyDescent="0.3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 x14ac:dyDescent="0.3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 x14ac:dyDescent="0.3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 x14ac:dyDescent="0.3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 x14ac:dyDescent="0.3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 x14ac:dyDescent="0.3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 x14ac:dyDescent="0.3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 x14ac:dyDescent="0.3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 x14ac:dyDescent="0.3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 x14ac:dyDescent="0.3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 x14ac:dyDescent="0.3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 x14ac:dyDescent="0.3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 x14ac:dyDescent="0.3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 x14ac:dyDescent="0.3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 x14ac:dyDescent="0.3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 x14ac:dyDescent="0.3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 x14ac:dyDescent="0.3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 x14ac:dyDescent="0.3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 x14ac:dyDescent="0.3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 x14ac:dyDescent="0.3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 x14ac:dyDescent="0.3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 x14ac:dyDescent="0.3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 x14ac:dyDescent="0.3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 x14ac:dyDescent="0.3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 x14ac:dyDescent="0.3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 x14ac:dyDescent="0.3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 x14ac:dyDescent="0.3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 x14ac:dyDescent="0.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 x14ac:dyDescent="0.3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 x14ac:dyDescent="0.3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 x14ac:dyDescent="0.3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 x14ac:dyDescent="0.3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 x14ac:dyDescent="0.3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 x14ac:dyDescent="0.3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 x14ac:dyDescent="0.3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 x14ac:dyDescent="0.3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 x14ac:dyDescent="0.3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 x14ac:dyDescent="0.3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 x14ac:dyDescent="0.3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 x14ac:dyDescent="0.3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 x14ac:dyDescent="0.3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 x14ac:dyDescent="0.3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 x14ac:dyDescent="0.3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 x14ac:dyDescent="0.3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 x14ac:dyDescent="0.3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 x14ac:dyDescent="0.3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 x14ac:dyDescent="0.3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 x14ac:dyDescent="0.3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 x14ac:dyDescent="0.3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 x14ac:dyDescent="0.3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 x14ac:dyDescent="0.3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 x14ac:dyDescent="0.3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 x14ac:dyDescent="0.3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 x14ac:dyDescent="0.3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 x14ac:dyDescent="0.3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 x14ac:dyDescent="0.3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 x14ac:dyDescent="0.3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 x14ac:dyDescent="0.3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 x14ac:dyDescent="0.3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 x14ac:dyDescent="0.3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 x14ac:dyDescent="0.3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 x14ac:dyDescent="0.3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 x14ac:dyDescent="0.3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 x14ac:dyDescent="0.3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 x14ac:dyDescent="0.3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 x14ac:dyDescent="0.3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 x14ac:dyDescent="0.3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 x14ac:dyDescent="0.3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 x14ac:dyDescent="0.3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 x14ac:dyDescent="0.3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 x14ac:dyDescent="0.3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 x14ac:dyDescent="0.3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 x14ac:dyDescent="0.3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 x14ac:dyDescent="0.3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 x14ac:dyDescent="0.3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 x14ac:dyDescent="0.3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 x14ac:dyDescent="0.3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 x14ac:dyDescent="0.3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 x14ac:dyDescent="0.3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 x14ac:dyDescent="0.3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 x14ac:dyDescent="0.3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 x14ac:dyDescent="0.3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 x14ac:dyDescent="0.3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 x14ac:dyDescent="0.3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 x14ac:dyDescent="0.3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 x14ac:dyDescent="0.3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 x14ac:dyDescent="0.3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 x14ac:dyDescent="0.3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 x14ac:dyDescent="0.3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 x14ac:dyDescent="0.3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 x14ac:dyDescent="0.3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 x14ac:dyDescent="0.3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 x14ac:dyDescent="0.3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 x14ac:dyDescent="0.3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 x14ac:dyDescent="0.3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 x14ac:dyDescent="0.3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 x14ac:dyDescent="0.3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 x14ac:dyDescent="0.3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 x14ac:dyDescent="0.3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 x14ac:dyDescent="0.3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 x14ac:dyDescent="0.3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 x14ac:dyDescent="0.3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 x14ac:dyDescent="0.3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 x14ac:dyDescent="0.3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 x14ac:dyDescent="0.3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 x14ac:dyDescent="0.3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 x14ac:dyDescent="0.3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 x14ac:dyDescent="0.3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 x14ac:dyDescent="0.3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 x14ac:dyDescent="0.3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 x14ac:dyDescent="0.3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 x14ac:dyDescent="0.3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 x14ac:dyDescent="0.3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 x14ac:dyDescent="0.3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 x14ac:dyDescent="0.3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 x14ac:dyDescent="0.3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 x14ac:dyDescent="0.3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 x14ac:dyDescent="0.3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 x14ac:dyDescent="0.3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 x14ac:dyDescent="0.3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 x14ac:dyDescent="0.3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 x14ac:dyDescent="0.3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 x14ac:dyDescent="0.3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 x14ac:dyDescent="0.3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 x14ac:dyDescent="0.3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 x14ac:dyDescent="0.3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 x14ac:dyDescent="0.3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 x14ac:dyDescent="0.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 x14ac:dyDescent="0.3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 x14ac:dyDescent="0.3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 x14ac:dyDescent="0.3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 x14ac:dyDescent="0.3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 x14ac:dyDescent="0.3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 x14ac:dyDescent="0.3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 x14ac:dyDescent="0.3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 x14ac:dyDescent="0.3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 x14ac:dyDescent="0.3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 x14ac:dyDescent="0.3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 x14ac:dyDescent="0.3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 x14ac:dyDescent="0.3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 x14ac:dyDescent="0.3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 x14ac:dyDescent="0.3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 x14ac:dyDescent="0.3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 x14ac:dyDescent="0.3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 x14ac:dyDescent="0.3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 x14ac:dyDescent="0.3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 x14ac:dyDescent="0.3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 x14ac:dyDescent="0.3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 x14ac:dyDescent="0.3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 x14ac:dyDescent="0.3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 x14ac:dyDescent="0.3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 x14ac:dyDescent="0.3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 x14ac:dyDescent="0.3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 x14ac:dyDescent="0.3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 x14ac:dyDescent="0.3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 x14ac:dyDescent="0.3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 x14ac:dyDescent="0.3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 x14ac:dyDescent="0.3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 x14ac:dyDescent="0.3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 x14ac:dyDescent="0.3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 x14ac:dyDescent="0.3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 x14ac:dyDescent="0.3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 x14ac:dyDescent="0.3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 x14ac:dyDescent="0.3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 x14ac:dyDescent="0.3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 x14ac:dyDescent="0.3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 x14ac:dyDescent="0.3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 x14ac:dyDescent="0.3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 x14ac:dyDescent="0.3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 x14ac:dyDescent="0.3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 x14ac:dyDescent="0.3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 x14ac:dyDescent="0.3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 x14ac:dyDescent="0.3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 x14ac:dyDescent="0.3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 x14ac:dyDescent="0.3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 x14ac:dyDescent="0.3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 x14ac:dyDescent="0.3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 x14ac:dyDescent="0.3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 x14ac:dyDescent="0.3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 x14ac:dyDescent="0.3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 x14ac:dyDescent="0.3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 x14ac:dyDescent="0.3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 x14ac:dyDescent="0.3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 x14ac:dyDescent="0.3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 x14ac:dyDescent="0.3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 x14ac:dyDescent="0.3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 x14ac:dyDescent="0.3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 x14ac:dyDescent="0.3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 x14ac:dyDescent="0.3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 x14ac:dyDescent="0.3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 x14ac:dyDescent="0.3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 x14ac:dyDescent="0.3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 x14ac:dyDescent="0.3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 x14ac:dyDescent="0.3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 x14ac:dyDescent="0.3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 x14ac:dyDescent="0.3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 x14ac:dyDescent="0.3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 x14ac:dyDescent="0.3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 x14ac:dyDescent="0.3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 x14ac:dyDescent="0.3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 x14ac:dyDescent="0.3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 x14ac:dyDescent="0.3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 x14ac:dyDescent="0.3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 x14ac:dyDescent="0.3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 x14ac:dyDescent="0.3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 x14ac:dyDescent="0.3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 x14ac:dyDescent="0.3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 x14ac:dyDescent="0.3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 x14ac:dyDescent="0.3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 x14ac:dyDescent="0.3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 x14ac:dyDescent="0.3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 x14ac:dyDescent="0.3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 x14ac:dyDescent="0.3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 x14ac:dyDescent="0.3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 x14ac:dyDescent="0.3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 x14ac:dyDescent="0.3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 x14ac:dyDescent="0.3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 x14ac:dyDescent="0.3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 x14ac:dyDescent="0.3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 x14ac:dyDescent="0.3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 x14ac:dyDescent="0.3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 x14ac:dyDescent="0.3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 x14ac:dyDescent="0.3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 x14ac:dyDescent="0.3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 x14ac:dyDescent="0.3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 x14ac:dyDescent="0.3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 x14ac:dyDescent="0.3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 x14ac:dyDescent="0.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 x14ac:dyDescent="0.3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 x14ac:dyDescent="0.3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 x14ac:dyDescent="0.3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 x14ac:dyDescent="0.3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 x14ac:dyDescent="0.3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 x14ac:dyDescent="0.3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 x14ac:dyDescent="0.3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 x14ac:dyDescent="0.3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 x14ac:dyDescent="0.3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 x14ac:dyDescent="0.3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 x14ac:dyDescent="0.3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 x14ac:dyDescent="0.3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 x14ac:dyDescent="0.3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 x14ac:dyDescent="0.3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 x14ac:dyDescent="0.3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 x14ac:dyDescent="0.3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 x14ac:dyDescent="0.3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 x14ac:dyDescent="0.3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 x14ac:dyDescent="0.3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 x14ac:dyDescent="0.3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 x14ac:dyDescent="0.3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 x14ac:dyDescent="0.3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 x14ac:dyDescent="0.3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 x14ac:dyDescent="0.3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 x14ac:dyDescent="0.3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 x14ac:dyDescent="0.3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 x14ac:dyDescent="0.3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 x14ac:dyDescent="0.3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 x14ac:dyDescent="0.3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 x14ac:dyDescent="0.3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 x14ac:dyDescent="0.3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 x14ac:dyDescent="0.3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 x14ac:dyDescent="0.3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 x14ac:dyDescent="0.3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 x14ac:dyDescent="0.3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 x14ac:dyDescent="0.3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 x14ac:dyDescent="0.3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 x14ac:dyDescent="0.3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 x14ac:dyDescent="0.3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 x14ac:dyDescent="0.3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 x14ac:dyDescent="0.3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 x14ac:dyDescent="0.3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 x14ac:dyDescent="0.3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 x14ac:dyDescent="0.3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 x14ac:dyDescent="0.3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 x14ac:dyDescent="0.3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 x14ac:dyDescent="0.3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 x14ac:dyDescent="0.3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 x14ac:dyDescent="0.3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 x14ac:dyDescent="0.3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 x14ac:dyDescent="0.3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 x14ac:dyDescent="0.3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 x14ac:dyDescent="0.3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 x14ac:dyDescent="0.3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 x14ac:dyDescent="0.3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 x14ac:dyDescent="0.3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 x14ac:dyDescent="0.3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 x14ac:dyDescent="0.3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 x14ac:dyDescent="0.3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 x14ac:dyDescent="0.3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 x14ac:dyDescent="0.3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 x14ac:dyDescent="0.3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 x14ac:dyDescent="0.3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 x14ac:dyDescent="0.3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 x14ac:dyDescent="0.3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 x14ac:dyDescent="0.3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 x14ac:dyDescent="0.3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 x14ac:dyDescent="0.3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 x14ac:dyDescent="0.3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 x14ac:dyDescent="0.3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 x14ac:dyDescent="0.3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 x14ac:dyDescent="0.3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 x14ac:dyDescent="0.3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 x14ac:dyDescent="0.3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 x14ac:dyDescent="0.3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 x14ac:dyDescent="0.3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 x14ac:dyDescent="0.3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 x14ac:dyDescent="0.3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 x14ac:dyDescent="0.3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 x14ac:dyDescent="0.3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 x14ac:dyDescent="0.3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 x14ac:dyDescent="0.3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 x14ac:dyDescent="0.3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 x14ac:dyDescent="0.3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 x14ac:dyDescent="0.3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 x14ac:dyDescent="0.3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 x14ac:dyDescent="0.3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 x14ac:dyDescent="0.3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 x14ac:dyDescent="0.3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 x14ac:dyDescent="0.3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 x14ac:dyDescent="0.3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 x14ac:dyDescent="0.3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 x14ac:dyDescent="0.3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 x14ac:dyDescent="0.3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 x14ac:dyDescent="0.3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 x14ac:dyDescent="0.3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 x14ac:dyDescent="0.3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 x14ac:dyDescent="0.3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 x14ac:dyDescent="0.3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 x14ac:dyDescent="0.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 x14ac:dyDescent="0.3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 x14ac:dyDescent="0.3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 x14ac:dyDescent="0.3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 x14ac:dyDescent="0.3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 x14ac:dyDescent="0.3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 x14ac:dyDescent="0.3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 x14ac:dyDescent="0.3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 x14ac:dyDescent="0.3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 x14ac:dyDescent="0.3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 x14ac:dyDescent="0.3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 x14ac:dyDescent="0.3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 x14ac:dyDescent="0.3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 x14ac:dyDescent="0.3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 x14ac:dyDescent="0.3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 x14ac:dyDescent="0.3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 x14ac:dyDescent="0.3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 x14ac:dyDescent="0.3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 x14ac:dyDescent="0.3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 x14ac:dyDescent="0.3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 x14ac:dyDescent="0.3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 x14ac:dyDescent="0.3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 x14ac:dyDescent="0.3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 x14ac:dyDescent="0.3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 x14ac:dyDescent="0.3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 x14ac:dyDescent="0.3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 x14ac:dyDescent="0.3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 x14ac:dyDescent="0.3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 x14ac:dyDescent="0.3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 x14ac:dyDescent="0.3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 x14ac:dyDescent="0.3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 x14ac:dyDescent="0.3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 x14ac:dyDescent="0.3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 x14ac:dyDescent="0.3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 x14ac:dyDescent="0.3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 x14ac:dyDescent="0.3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 x14ac:dyDescent="0.3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 x14ac:dyDescent="0.3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 x14ac:dyDescent="0.3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 x14ac:dyDescent="0.3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 x14ac:dyDescent="0.3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 x14ac:dyDescent="0.3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 x14ac:dyDescent="0.3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 x14ac:dyDescent="0.3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 x14ac:dyDescent="0.3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 x14ac:dyDescent="0.3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 x14ac:dyDescent="0.3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 x14ac:dyDescent="0.3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 x14ac:dyDescent="0.3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 x14ac:dyDescent="0.3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 x14ac:dyDescent="0.3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 x14ac:dyDescent="0.3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 x14ac:dyDescent="0.3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 x14ac:dyDescent="0.3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 x14ac:dyDescent="0.3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 x14ac:dyDescent="0.3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 x14ac:dyDescent="0.3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 x14ac:dyDescent="0.3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 x14ac:dyDescent="0.3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 x14ac:dyDescent="0.3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 x14ac:dyDescent="0.3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 x14ac:dyDescent="0.3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 x14ac:dyDescent="0.3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 x14ac:dyDescent="0.3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 x14ac:dyDescent="0.3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 x14ac:dyDescent="0.3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 x14ac:dyDescent="0.3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 x14ac:dyDescent="0.3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 x14ac:dyDescent="0.3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 x14ac:dyDescent="0.3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 x14ac:dyDescent="0.3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 x14ac:dyDescent="0.3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 x14ac:dyDescent="0.3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 x14ac:dyDescent="0.3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 x14ac:dyDescent="0.3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 x14ac:dyDescent="0.3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 x14ac:dyDescent="0.3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 x14ac:dyDescent="0.3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 x14ac:dyDescent="0.3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 x14ac:dyDescent="0.3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 x14ac:dyDescent="0.3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 x14ac:dyDescent="0.3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 x14ac:dyDescent="0.3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 x14ac:dyDescent="0.3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 x14ac:dyDescent="0.3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 x14ac:dyDescent="0.3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 x14ac:dyDescent="0.3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 x14ac:dyDescent="0.3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 x14ac:dyDescent="0.3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 x14ac:dyDescent="0.3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 x14ac:dyDescent="0.3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 x14ac:dyDescent="0.3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 x14ac:dyDescent="0.3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 x14ac:dyDescent="0.3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 x14ac:dyDescent="0.3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 x14ac:dyDescent="0.3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 x14ac:dyDescent="0.3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 x14ac:dyDescent="0.3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 x14ac:dyDescent="0.3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 x14ac:dyDescent="0.3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 x14ac:dyDescent="0.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 x14ac:dyDescent="0.3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 x14ac:dyDescent="0.3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 x14ac:dyDescent="0.3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 x14ac:dyDescent="0.3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 x14ac:dyDescent="0.3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 x14ac:dyDescent="0.3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 x14ac:dyDescent="0.3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 x14ac:dyDescent="0.3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 x14ac:dyDescent="0.3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 x14ac:dyDescent="0.3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 x14ac:dyDescent="0.3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 x14ac:dyDescent="0.3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 x14ac:dyDescent="0.3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 x14ac:dyDescent="0.3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 x14ac:dyDescent="0.3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 x14ac:dyDescent="0.3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 x14ac:dyDescent="0.3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 x14ac:dyDescent="0.3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 x14ac:dyDescent="0.3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 x14ac:dyDescent="0.3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 x14ac:dyDescent="0.3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 x14ac:dyDescent="0.3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 x14ac:dyDescent="0.3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 x14ac:dyDescent="0.3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 x14ac:dyDescent="0.3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 x14ac:dyDescent="0.3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 x14ac:dyDescent="0.3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 x14ac:dyDescent="0.3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 x14ac:dyDescent="0.3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 x14ac:dyDescent="0.3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 x14ac:dyDescent="0.3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 x14ac:dyDescent="0.3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 x14ac:dyDescent="0.3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 x14ac:dyDescent="0.3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 x14ac:dyDescent="0.3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 x14ac:dyDescent="0.3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 x14ac:dyDescent="0.3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 x14ac:dyDescent="0.3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 x14ac:dyDescent="0.3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 x14ac:dyDescent="0.3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 x14ac:dyDescent="0.3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 x14ac:dyDescent="0.3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 x14ac:dyDescent="0.3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 x14ac:dyDescent="0.3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 x14ac:dyDescent="0.3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 x14ac:dyDescent="0.3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 x14ac:dyDescent="0.3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 x14ac:dyDescent="0.3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 x14ac:dyDescent="0.3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 x14ac:dyDescent="0.3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 x14ac:dyDescent="0.3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 x14ac:dyDescent="0.3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 x14ac:dyDescent="0.3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 x14ac:dyDescent="0.3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 x14ac:dyDescent="0.3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 x14ac:dyDescent="0.3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 x14ac:dyDescent="0.3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 x14ac:dyDescent="0.3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 x14ac:dyDescent="0.3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 x14ac:dyDescent="0.3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 x14ac:dyDescent="0.3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 x14ac:dyDescent="0.3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 x14ac:dyDescent="0.3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 x14ac:dyDescent="0.3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 x14ac:dyDescent="0.3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 x14ac:dyDescent="0.3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 x14ac:dyDescent="0.3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 x14ac:dyDescent="0.3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 x14ac:dyDescent="0.3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 x14ac:dyDescent="0.3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 x14ac:dyDescent="0.3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 x14ac:dyDescent="0.3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 x14ac:dyDescent="0.3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 x14ac:dyDescent="0.3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 x14ac:dyDescent="0.3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 x14ac:dyDescent="0.3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 x14ac:dyDescent="0.3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 x14ac:dyDescent="0.3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 x14ac:dyDescent="0.3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 x14ac:dyDescent="0.3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 x14ac:dyDescent="0.3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 x14ac:dyDescent="0.3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 x14ac:dyDescent="0.3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 x14ac:dyDescent="0.3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 x14ac:dyDescent="0.3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 x14ac:dyDescent="0.3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 x14ac:dyDescent="0.3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 x14ac:dyDescent="0.3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 x14ac:dyDescent="0.3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 x14ac:dyDescent="0.3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 x14ac:dyDescent="0.3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 x14ac:dyDescent="0.3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 x14ac:dyDescent="0.3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 x14ac:dyDescent="0.3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 x14ac:dyDescent="0.3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 x14ac:dyDescent="0.3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 x14ac:dyDescent="0.3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 x14ac:dyDescent="0.3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 x14ac:dyDescent="0.3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 x14ac:dyDescent="0.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 x14ac:dyDescent="0.3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 x14ac:dyDescent="0.3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 x14ac:dyDescent="0.3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 x14ac:dyDescent="0.3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 x14ac:dyDescent="0.3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 x14ac:dyDescent="0.3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 x14ac:dyDescent="0.3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 x14ac:dyDescent="0.3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 x14ac:dyDescent="0.3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 x14ac:dyDescent="0.3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 x14ac:dyDescent="0.3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 x14ac:dyDescent="0.3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 x14ac:dyDescent="0.3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 x14ac:dyDescent="0.3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 x14ac:dyDescent="0.3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 x14ac:dyDescent="0.3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 x14ac:dyDescent="0.3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 x14ac:dyDescent="0.3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 x14ac:dyDescent="0.3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 x14ac:dyDescent="0.3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 x14ac:dyDescent="0.3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 x14ac:dyDescent="0.3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 x14ac:dyDescent="0.3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 x14ac:dyDescent="0.3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 x14ac:dyDescent="0.3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 x14ac:dyDescent="0.3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 x14ac:dyDescent="0.3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 x14ac:dyDescent="0.3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 x14ac:dyDescent="0.3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 x14ac:dyDescent="0.3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 x14ac:dyDescent="0.3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 x14ac:dyDescent="0.3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 x14ac:dyDescent="0.3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 x14ac:dyDescent="0.3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 x14ac:dyDescent="0.3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 x14ac:dyDescent="0.3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 x14ac:dyDescent="0.3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 x14ac:dyDescent="0.3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 x14ac:dyDescent="0.3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 x14ac:dyDescent="0.3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 x14ac:dyDescent="0.3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 x14ac:dyDescent="0.3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 x14ac:dyDescent="0.3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 x14ac:dyDescent="0.3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 x14ac:dyDescent="0.3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 x14ac:dyDescent="0.3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 x14ac:dyDescent="0.3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 x14ac:dyDescent="0.3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 x14ac:dyDescent="0.3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 x14ac:dyDescent="0.3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 x14ac:dyDescent="0.3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 x14ac:dyDescent="0.3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 x14ac:dyDescent="0.3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 x14ac:dyDescent="0.3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 x14ac:dyDescent="0.3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 x14ac:dyDescent="0.3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 x14ac:dyDescent="0.3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 x14ac:dyDescent="0.3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 x14ac:dyDescent="0.3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 x14ac:dyDescent="0.3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 x14ac:dyDescent="0.3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 x14ac:dyDescent="0.3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 x14ac:dyDescent="0.3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 x14ac:dyDescent="0.3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 x14ac:dyDescent="0.3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 x14ac:dyDescent="0.3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 x14ac:dyDescent="0.3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 x14ac:dyDescent="0.3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 x14ac:dyDescent="0.3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 x14ac:dyDescent="0.3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 x14ac:dyDescent="0.3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 x14ac:dyDescent="0.3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 x14ac:dyDescent="0.3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 x14ac:dyDescent="0.3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 x14ac:dyDescent="0.3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 x14ac:dyDescent="0.3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 x14ac:dyDescent="0.3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 x14ac:dyDescent="0.3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 x14ac:dyDescent="0.3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 x14ac:dyDescent="0.3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 x14ac:dyDescent="0.3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 x14ac:dyDescent="0.3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 x14ac:dyDescent="0.3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 x14ac:dyDescent="0.3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 x14ac:dyDescent="0.3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 x14ac:dyDescent="0.3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 x14ac:dyDescent="0.3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 x14ac:dyDescent="0.3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 x14ac:dyDescent="0.3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 x14ac:dyDescent="0.3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 x14ac:dyDescent="0.3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 x14ac:dyDescent="0.3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 x14ac:dyDescent="0.3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 x14ac:dyDescent="0.3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 x14ac:dyDescent="0.3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 x14ac:dyDescent="0.3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 x14ac:dyDescent="0.3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 x14ac:dyDescent="0.3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 x14ac:dyDescent="0.3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 x14ac:dyDescent="0.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 x14ac:dyDescent="0.3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 x14ac:dyDescent="0.3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 x14ac:dyDescent="0.3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 x14ac:dyDescent="0.3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 x14ac:dyDescent="0.3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 x14ac:dyDescent="0.3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 x14ac:dyDescent="0.3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 x14ac:dyDescent="0.3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 x14ac:dyDescent="0.3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 x14ac:dyDescent="0.3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 x14ac:dyDescent="0.3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 x14ac:dyDescent="0.3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 x14ac:dyDescent="0.3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 x14ac:dyDescent="0.3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 x14ac:dyDescent="0.3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 x14ac:dyDescent="0.3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 x14ac:dyDescent="0.3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 x14ac:dyDescent="0.3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 x14ac:dyDescent="0.3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 x14ac:dyDescent="0.3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 x14ac:dyDescent="0.3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 x14ac:dyDescent="0.3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 x14ac:dyDescent="0.3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 x14ac:dyDescent="0.3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 x14ac:dyDescent="0.3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 x14ac:dyDescent="0.3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 x14ac:dyDescent="0.3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 x14ac:dyDescent="0.3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 x14ac:dyDescent="0.3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 x14ac:dyDescent="0.3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 x14ac:dyDescent="0.3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 x14ac:dyDescent="0.3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 x14ac:dyDescent="0.3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 x14ac:dyDescent="0.3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 x14ac:dyDescent="0.3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 x14ac:dyDescent="0.3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 x14ac:dyDescent="0.3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 x14ac:dyDescent="0.3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 x14ac:dyDescent="0.3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 x14ac:dyDescent="0.3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 x14ac:dyDescent="0.3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 x14ac:dyDescent="0.3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 x14ac:dyDescent="0.3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 x14ac:dyDescent="0.3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 x14ac:dyDescent="0.3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 x14ac:dyDescent="0.3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 x14ac:dyDescent="0.3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 x14ac:dyDescent="0.3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 x14ac:dyDescent="0.3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 x14ac:dyDescent="0.3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 x14ac:dyDescent="0.3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 x14ac:dyDescent="0.3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 x14ac:dyDescent="0.3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 x14ac:dyDescent="0.3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 x14ac:dyDescent="0.3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 x14ac:dyDescent="0.3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 x14ac:dyDescent="0.3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 x14ac:dyDescent="0.3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 x14ac:dyDescent="0.3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 x14ac:dyDescent="0.3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 x14ac:dyDescent="0.3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 x14ac:dyDescent="0.3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 x14ac:dyDescent="0.3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 x14ac:dyDescent="0.3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 x14ac:dyDescent="0.3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 x14ac:dyDescent="0.3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 x14ac:dyDescent="0.3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 x14ac:dyDescent="0.3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 x14ac:dyDescent="0.3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 x14ac:dyDescent="0.3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 x14ac:dyDescent="0.3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 x14ac:dyDescent="0.3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 x14ac:dyDescent="0.3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 x14ac:dyDescent="0.3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 x14ac:dyDescent="0.3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 x14ac:dyDescent="0.3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 x14ac:dyDescent="0.3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 x14ac:dyDescent="0.3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 x14ac:dyDescent="0.3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 x14ac:dyDescent="0.3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 x14ac:dyDescent="0.3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 x14ac:dyDescent="0.3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 x14ac:dyDescent="0.3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 x14ac:dyDescent="0.3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 x14ac:dyDescent="0.3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 x14ac:dyDescent="0.3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 x14ac:dyDescent="0.3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 x14ac:dyDescent="0.3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 x14ac:dyDescent="0.3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 x14ac:dyDescent="0.3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 x14ac:dyDescent="0.3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 x14ac:dyDescent="0.3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 x14ac:dyDescent="0.3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 x14ac:dyDescent="0.3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 x14ac:dyDescent="0.3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 x14ac:dyDescent="0.3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 x14ac:dyDescent="0.3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 x14ac:dyDescent="0.3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 x14ac:dyDescent="0.3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 x14ac:dyDescent="0.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 x14ac:dyDescent="0.3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 x14ac:dyDescent="0.3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 x14ac:dyDescent="0.3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 x14ac:dyDescent="0.3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 x14ac:dyDescent="0.3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 x14ac:dyDescent="0.3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 x14ac:dyDescent="0.3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 x14ac:dyDescent="0.3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 x14ac:dyDescent="0.3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 x14ac:dyDescent="0.3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 x14ac:dyDescent="0.3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 x14ac:dyDescent="0.3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 x14ac:dyDescent="0.3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 x14ac:dyDescent="0.3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 x14ac:dyDescent="0.3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 x14ac:dyDescent="0.3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 x14ac:dyDescent="0.3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 x14ac:dyDescent="0.3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 x14ac:dyDescent="0.3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 x14ac:dyDescent="0.3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 x14ac:dyDescent="0.3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 x14ac:dyDescent="0.3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 x14ac:dyDescent="0.3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 x14ac:dyDescent="0.3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 x14ac:dyDescent="0.3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 x14ac:dyDescent="0.3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 x14ac:dyDescent="0.3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 x14ac:dyDescent="0.3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 x14ac:dyDescent="0.3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 x14ac:dyDescent="0.3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 x14ac:dyDescent="0.3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 x14ac:dyDescent="0.3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 x14ac:dyDescent="0.3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 x14ac:dyDescent="0.3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 x14ac:dyDescent="0.3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 x14ac:dyDescent="0.3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 x14ac:dyDescent="0.3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 x14ac:dyDescent="0.3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 x14ac:dyDescent="0.3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 x14ac:dyDescent="0.3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 x14ac:dyDescent="0.3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 x14ac:dyDescent="0.3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 x14ac:dyDescent="0.3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 x14ac:dyDescent="0.3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 x14ac:dyDescent="0.3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 x14ac:dyDescent="0.3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 x14ac:dyDescent="0.3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 x14ac:dyDescent="0.3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 x14ac:dyDescent="0.3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 x14ac:dyDescent="0.3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 x14ac:dyDescent="0.3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 x14ac:dyDescent="0.3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 x14ac:dyDescent="0.3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 x14ac:dyDescent="0.3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 x14ac:dyDescent="0.3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 x14ac:dyDescent="0.3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 x14ac:dyDescent="0.3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 x14ac:dyDescent="0.3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 x14ac:dyDescent="0.3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 x14ac:dyDescent="0.3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 x14ac:dyDescent="0.3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 x14ac:dyDescent="0.3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 x14ac:dyDescent="0.3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 x14ac:dyDescent="0.3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 x14ac:dyDescent="0.3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 x14ac:dyDescent="0.3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 x14ac:dyDescent="0.3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 x14ac:dyDescent="0.3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 x14ac:dyDescent="0.3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 x14ac:dyDescent="0.3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 x14ac:dyDescent="0.3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 x14ac:dyDescent="0.3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 x14ac:dyDescent="0.3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 x14ac:dyDescent="0.3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 x14ac:dyDescent="0.3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 x14ac:dyDescent="0.3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 x14ac:dyDescent="0.3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 x14ac:dyDescent="0.3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 x14ac:dyDescent="0.3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 x14ac:dyDescent="0.3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 x14ac:dyDescent="0.3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 x14ac:dyDescent="0.3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 x14ac:dyDescent="0.3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 x14ac:dyDescent="0.3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 x14ac:dyDescent="0.3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 x14ac:dyDescent="0.3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 x14ac:dyDescent="0.3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 x14ac:dyDescent="0.3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 x14ac:dyDescent="0.3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 x14ac:dyDescent="0.3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 x14ac:dyDescent="0.3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 x14ac:dyDescent="0.3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 x14ac:dyDescent="0.3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 x14ac:dyDescent="0.3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 x14ac:dyDescent="0.3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 x14ac:dyDescent="0.3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 x14ac:dyDescent="0.3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 x14ac:dyDescent="0.3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 x14ac:dyDescent="0.3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 x14ac:dyDescent="0.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 x14ac:dyDescent="0.3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 x14ac:dyDescent="0.3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 x14ac:dyDescent="0.3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 x14ac:dyDescent="0.3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 x14ac:dyDescent="0.3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 x14ac:dyDescent="0.3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 x14ac:dyDescent="0.3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 x14ac:dyDescent="0.3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 x14ac:dyDescent="0.3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 x14ac:dyDescent="0.3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 x14ac:dyDescent="0.3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 x14ac:dyDescent="0.3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 x14ac:dyDescent="0.3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 x14ac:dyDescent="0.3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 x14ac:dyDescent="0.3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 x14ac:dyDescent="0.3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 x14ac:dyDescent="0.3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 x14ac:dyDescent="0.3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 x14ac:dyDescent="0.3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 x14ac:dyDescent="0.3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 x14ac:dyDescent="0.3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 x14ac:dyDescent="0.3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 x14ac:dyDescent="0.3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 x14ac:dyDescent="0.3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 x14ac:dyDescent="0.3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 x14ac:dyDescent="0.3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 x14ac:dyDescent="0.3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5.75" customHeight="1" x14ac:dyDescent="0.3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5.75" customHeight="1" x14ac:dyDescent="0.3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5.75" customHeight="1" x14ac:dyDescent="0.3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5.75" customHeight="1" x14ac:dyDescent="0.3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5.75" customHeight="1" x14ac:dyDescent="0.3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5.75" customHeight="1" x14ac:dyDescent="0.3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5.75" customHeight="1" x14ac:dyDescent="0.3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5.75" customHeight="1" x14ac:dyDescent="0.3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5.75" customHeight="1" x14ac:dyDescent="0.3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5.75" customHeight="1" x14ac:dyDescent="0.3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5.75" customHeight="1" x14ac:dyDescent="0.3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5.75" customHeight="1" x14ac:dyDescent="0.3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5.75" customHeight="1" x14ac:dyDescent="0.3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5.75" customHeight="1" x14ac:dyDescent="0.3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5.75" customHeight="1" x14ac:dyDescent="0.3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5.75" customHeight="1" x14ac:dyDescent="0.3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5.75" customHeight="1" x14ac:dyDescent="0.3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5.75" customHeight="1" x14ac:dyDescent="0.3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5.75" customHeight="1" x14ac:dyDescent="0.3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5.75" customHeight="1" x14ac:dyDescent="0.3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5.75" customHeight="1" x14ac:dyDescent="0.3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5.75" customHeight="1" x14ac:dyDescent="0.3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5.75" customHeight="1" x14ac:dyDescent="0.3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5.75" customHeight="1" x14ac:dyDescent="0.3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5.75" customHeight="1" x14ac:dyDescent="0.3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5.75" customHeight="1" x14ac:dyDescent="0.3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5.75" customHeight="1" x14ac:dyDescent="0.3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5.75" customHeight="1" x14ac:dyDescent="0.3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5.75" customHeight="1" x14ac:dyDescent="0.3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5.75" customHeight="1" x14ac:dyDescent="0.3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5.75" customHeight="1" x14ac:dyDescent="0.3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5.75" customHeight="1" x14ac:dyDescent="0.3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5.75" customHeight="1" x14ac:dyDescent="0.3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5.75" customHeight="1" x14ac:dyDescent="0.3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5.75" customHeight="1" x14ac:dyDescent="0.3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5.75" customHeight="1" x14ac:dyDescent="0.3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5.75" customHeight="1" x14ac:dyDescent="0.3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5.75" customHeight="1" x14ac:dyDescent="0.3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5.75" customHeight="1" x14ac:dyDescent="0.3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5.75" customHeight="1" x14ac:dyDescent="0.3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15.75" customHeight="1" x14ac:dyDescent="0.3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15.75" customHeight="1" x14ac:dyDescent="0.3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spans="1:26" ht="15.75" customHeight="1" x14ac:dyDescent="0.3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 spans="1:26" ht="15.75" customHeight="1" x14ac:dyDescent="0.3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 spans="1:26" ht="15.75" customHeight="1" x14ac:dyDescent="0.3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 spans="1:26" ht="15.75" customHeight="1" x14ac:dyDescent="0.3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 spans="1:26" ht="15.75" customHeight="1" x14ac:dyDescent="0.3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 spans="1:26" ht="15.75" customHeight="1" x14ac:dyDescent="0.3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 spans="1:26" ht="15.75" customHeight="1" x14ac:dyDescent="0.3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 spans="1:26" ht="15.75" customHeight="1" x14ac:dyDescent="0.3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 spans="1:26" ht="15.75" customHeight="1" x14ac:dyDescent="0.3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 ht="15.75" customHeight="1" x14ac:dyDescent="0.35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spans="1:26" ht="15.75" customHeight="1" x14ac:dyDescent="0.3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spans="1:26" ht="15.75" customHeight="1" x14ac:dyDescent="0.35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 spans="1:26" ht="15.75" customHeight="1" x14ac:dyDescent="0.35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 spans="1:26" ht="15.75" customHeight="1" x14ac:dyDescent="0.35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 spans="1:26" ht="15.75" customHeight="1" x14ac:dyDescent="0.35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 spans="1:26" ht="15.75" customHeight="1" x14ac:dyDescent="0.35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 spans="1:26" ht="15.75" customHeight="1" x14ac:dyDescent="0.35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 ht="15.75" customHeight="1" x14ac:dyDescent="0.35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 spans="1:26" ht="15.75" customHeight="1" x14ac:dyDescent="0.35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 spans="1:26" ht="15.75" customHeight="1" x14ac:dyDescent="0.35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 spans="1:26" ht="15.75" customHeight="1" x14ac:dyDescent="0.3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 spans="1:26" ht="15.75" customHeight="1" x14ac:dyDescent="0.35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</sheetData>
  <sheetProtection sheet="1" objects="1" scenarios="1"/>
  <mergeCells count="19">
    <mergeCell ref="C1:J1"/>
    <mergeCell ref="B4:N4"/>
    <mergeCell ref="A5:B5"/>
    <mergeCell ref="B51:D51"/>
    <mergeCell ref="B52:D52"/>
    <mergeCell ref="B2:K2"/>
    <mergeCell ref="C5:D5"/>
    <mergeCell ref="E5:K5"/>
    <mergeCell ref="L5:M5"/>
    <mergeCell ref="I58:L58"/>
    <mergeCell ref="I59:L59"/>
    <mergeCell ref="B60:D61"/>
    <mergeCell ref="I51:M51"/>
    <mergeCell ref="I52:M52"/>
    <mergeCell ref="I53:L53"/>
    <mergeCell ref="I54:L54"/>
    <mergeCell ref="I55:L55"/>
    <mergeCell ref="I56:L56"/>
    <mergeCell ref="I57:L5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 Budget - Costs and Revenues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Allanach, Kara</dc:creator>
  <cp:lastModifiedBy>holody</cp:lastModifiedBy>
  <dcterms:created xsi:type="dcterms:W3CDTF">2018-09-18T18:58:02Z</dcterms:created>
  <dcterms:modified xsi:type="dcterms:W3CDTF">2025-08-26T20:42:33Z</dcterms:modified>
</cp:coreProperties>
</file>