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TA Budget - Costs and Revenues" sheetId="1" r:id="rId5"/>
  </sheets>
  <definedNames/>
  <calcPr/>
</workbook>
</file>

<file path=xl/sharedStrings.xml><?xml version="1.0" encoding="utf-8"?>
<sst xmlns="http://schemas.openxmlformats.org/spreadsheetml/2006/main" count="130" uniqueCount="89">
  <si>
    <t>CFI IF2027 RTA Budget</t>
  </si>
  <si>
    <r>
      <rPr>
        <rFont val="Calibri"/>
        <b/>
        <color rgb="FF000000"/>
        <sz val="11.0"/>
      </rPr>
      <t xml:space="preserve">If you have any questions about how to use this template, please contact Research Administrative Service, Institutional Programs (RAS-IP) at </t>
    </r>
    <r>
      <rPr>
        <rFont val="Calibri"/>
        <b/>
        <color rgb="FF0070C0"/>
        <sz val="11.0"/>
      </rPr>
      <t>rsoinnov@ualberta.ca.</t>
    </r>
  </si>
  <si>
    <t>Last Updated
August 2025</t>
  </si>
  <si>
    <r>
      <rPr>
        <rFont val="Calibri"/>
        <b/>
        <color rgb="FF000000"/>
        <sz val="14.0"/>
      </rPr>
      <t xml:space="preserve">INSTRUCTIONS:  
</t>
    </r>
    <r>
      <rPr>
        <rFont val="Calibri"/>
        <b/>
        <color rgb="FF000000"/>
        <sz val="14.0"/>
      </rPr>
      <t xml:space="preserve">Only enter data in the </t>
    </r>
    <r>
      <rPr>
        <rFont val="Calibri"/>
        <b/>
        <color rgb="FFA8D08D"/>
        <sz val="14.0"/>
        <u/>
      </rPr>
      <t>green</t>
    </r>
    <r>
      <rPr>
        <rFont val="Calibri"/>
        <b/>
        <color rgb="FF000000"/>
        <sz val="14.0"/>
      </rPr>
      <t xml:space="preserve"> cells. All other cells have been locked to preserve the formulas. If you have any questions about how to use this template, contact rsoinnov@ualberta.ca.</t>
    </r>
    <r>
      <rPr>
        <rFont val="Calibri"/>
        <b/>
        <color rgb="FF000000"/>
        <sz val="14.0"/>
      </rPr>
      <t xml:space="preserve">
1. Download an Excel copy of this spreadsheet, and name it according to the convention "UofA PI last name_Budget_YYYY-MM-DD". It is </t>
    </r>
    <r>
      <rPr>
        <rFont val="Calibri"/>
        <b/>
        <color rgb="FF000000"/>
        <sz val="14.0"/>
        <u/>
      </rPr>
      <t>not</t>
    </r>
    <r>
      <rPr>
        <rFont val="Calibri"/>
        <b/>
        <color rgb="FF000000"/>
        <sz val="14.0"/>
      </rPr>
      <t xml:space="preserve"> recommended that you complete this budget as a Google Sheet.
2. Enter budget line items and pricing in Table 1.</t>
    </r>
    <r>
      <rPr>
        <rFont val="Calibri"/>
        <b/>
        <color rgb="FF000000"/>
        <sz val="14.0"/>
      </rPr>
      <t xml:space="preserve"> Verify that the currency and exchange rate are correct for each line based on your quotes.</t>
    </r>
    <r>
      <rPr>
        <rFont val="Calibri"/>
        <b/>
        <color rgb="FF000000"/>
        <sz val="14.0"/>
      </rPr>
      <t xml:space="preserve">
3. A contingency of 13% of the Total Project Cost will be added to provide a cushion for any renovations* to the research space identified as necessary by UofA Project Management Office during application development. 
4. Table 2 will autopopulate based on information added in Table 1. Once all items have been entered in Table 1, check the BALANCE showing in Table 2 (yellow cells). If this number is POSITIVE, there is a cash shortfall, and additional eligible funding must be committed to the project.
5. Enter the source of additional funding in Table 3 to reduce the BALANCE (yellow) to $0.
*Renovation estimates from Facilities &amp; Operations are not required at RTA stage. A gross estimate for renovation costs is calculated automatically in this form. After the RTA is approved, Facilities &amp; Operations will reach out to you to begin the process of preparation of the "Renovations Estimate" document needed for the application.</t>
    </r>
  </si>
  <si>
    <t>Table 1: Infrastructure Budget
Note: A separate Operation and Maintenance (O&amp;M) budget will be developed later if your RTA is approved.</t>
  </si>
  <si>
    <t>Requested Infrastructure</t>
  </si>
  <si>
    <t>Currency and Exchange Rate</t>
  </si>
  <si>
    <t>Cost Calculation</t>
  </si>
  <si>
    <t>Cost Adjustments for GST &amp; Exchange rate</t>
  </si>
  <si>
    <t>Total Project Cost Calculation</t>
  </si>
  <si>
    <t>Line Item Number</t>
  </si>
  <si>
    <t>Item Description 
Each Line should include a "whole" piece of equipment.  E.g. if you are purchasing a microscope with filters and other accessories, roll it up into one line. If there are items on the quotation that you do not intend to purchase, make a note of that on the quote that you upload.</t>
  </si>
  <si>
    <t>Currency 
(e.g., CAD, USD, EURO, etc.)</t>
  </si>
  <si>
    <t>Exchange Rate
(use 1 for CAD, 1.5 for USD) Other currencies: consult RAS-IP</t>
  </si>
  <si>
    <t>List Price</t>
  </si>
  <si>
    <t>Normal discount (if not offered, enter 0)</t>
  </si>
  <si>
    <t>Educational Discount (if not offered, enter 0)</t>
  </si>
  <si>
    <t>Fair Market Value (Educational Price before CFI in-kind contribution)</t>
  </si>
  <si>
    <t>CFI In-kind contribution (if not offered, enter 0)</t>
  </si>
  <si>
    <t>CFI contribution %</t>
  </si>
  <si>
    <t>CFI price (net cash)</t>
  </si>
  <si>
    <t>Cash Cost (including exchange rate adjustment and 5% GST)</t>
  </si>
  <si>
    <t>In-kind contribution (exchange rate adjustment)</t>
  </si>
  <si>
    <t>Total item cost
(Cash Cost + in-kind including all adjustments and contingency)</t>
  </si>
  <si>
    <t>Suite 1: CIU/CRU Equipment</t>
  </si>
  <si>
    <t>CAD</t>
  </si>
  <si>
    <t>Suite 1: Secure IP Pharmacy Storage (Temp-monitored)</t>
  </si>
  <si>
    <t>Suite 1: Automated Dispensing Cabinets</t>
  </si>
  <si>
    <t>Suite 1: Vital Sign Monitors (High Acuity - Adult CIU)</t>
  </si>
  <si>
    <t>Suite 1: Programmable Infusion Pumps (Adult CIU)</t>
  </si>
  <si>
    <t>Suite 1: Resuscitation Equipment (Crash Carts/Defibs)</t>
  </si>
  <si>
    <t>Suite 1: Point-of-Care Lab Analyzers</t>
  </si>
  <si>
    <t>Suite 1: Telehealth, Long-Term Monitoring &amp; Connect Care Integration</t>
  </si>
  <si>
    <t>Suite 1a: CHIM Unit Renovation &amp; Containment Fit-Out</t>
  </si>
  <si>
    <t>Suite 1a: HEPA Filtration System Upgrade</t>
  </si>
  <si>
    <t>Suite 1a: Challenge Unit Continuous Monitoring Stations</t>
  </si>
  <si>
    <t>Suite 1a: Pathogen Preparation Area</t>
  </si>
  <si>
    <t>Suite 2: Automated Liquid Handling System</t>
  </si>
  <si>
    <t>Suite 2: Ultra-Low Temp Freezers (-80C)</t>
  </si>
  <si>
    <t>Suite 2: LN2 Vapour-Phase Storage System</t>
  </si>
  <si>
    <t>Suite 2: Class II Biosafety Cabinets</t>
  </si>
  <si>
    <t>Suite 2: Refrigerated Centrifuges (Biocontainment)</t>
  </si>
  <si>
    <t>Suite 2: Environmental Monitoring System</t>
  </si>
  <si>
    <t>Suite 2: Clinical Grade Microscopes &amp; Counters</t>
  </si>
  <si>
    <t>Suite 2: OpenSpecimen LIMS (License, Integration, Migration, Training)</t>
  </si>
  <si>
    <t>Suite 2: Biorepository Capacity Expansion (SDRE Reallocation)</t>
  </si>
  <si>
    <t>Suite 3: Cold-Chain Logistics Equipment</t>
  </si>
  <si>
    <t>Suite 3: PAMRC Network Link (10Gbps Fiber to TRE)</t>
  </si>
  <si>
    <t>Suite 3: PAMRC Storage Node (NVMe Cache + LORIS DB)</t>
  </si>
  <si>
    <t>Suite 3: Research PACS Server (Orthanc + Hardware)</t>
  </si>
  <si>
    <t>Suite 3: LORIS Research Data Platform (Server + Deployment)</t>
  </si>
  <si>
    <t>Suite 3: CRAIDL AI Development Stations (6x Dell Pro Max GB10 + Mac Studio)</t>
  </si>
  <si>
    <t>Suite 3: Video Conferencing System (Translation &amp; Patient Participation)</t>
  </si>
  <si>
    <t>Suite 3: PACS/LORIS-TRE Integration &amp; DICOM-OMOP Mapping</t>
  </si>
  <si>
    <t>Suite 4: Networking &amp; Security Core</t>
  </si>
  <si>
    <t>Suite 4: Clinical Trial Data Platform (3-Year Contract)</t>
  </si>
  <si>
    <t>Suite 4: AWS TRE &amp; AI Infrastructure (Setup, Bedrock, ProServe)</t>
  </si>
  <si>
    <t>Suite 4: EDC/eSource Platform (3-Year, 21 CFR 11 Compliant)</t>
  </si>
  <si>
    <t>Suite 4: BioBank/OpenSpecimen-TRE-Connect Care Integration</t>
  </si>
  <si>
    <t>Suite 5: Wearable Sensors &amp; Remote Monitoring Kits (Decentralized Trials)</t>
  </si>
  <si>
    <t>Suite 5: Mobile Data Capture Kiosks/Tablets (Decentralized Trials)</t>
  </si>
  <si>
    <t>Suite 5: Device Integration APIs &amp; Validation Library (Decentralized Trials)</t>
  </si>
  <si>
    <t>Suite 5: Sensor Development Equipment &amp; Reference Pool (Decentralized Trials)</t>
  </si>
  <si>
    <t>Suite 2: Biorepository Renovation &amp; Infrastructure (LKS/Katz) - B-PREPARED</t>
  </si>
  <si>
    <t xml:space="preserve"> $ -   </t>
  </si>
  <si>
    <t>TOTALS</t>
  </si>
  <si>
    <t>Renovation contingency of 13% of Total Project Cost:</t>
  </si>
  <si>
    <t>Table 2: Summary of Funding Sources (Revenue)</t>
  </si>
  <si>
    <t>Table 3: Other Eligible Funding Sources</t>
  </si>
  <si>
    <t>Do not enter data in this table - it populates automatically from the other tables.</t>
  </si>
  <si>
    <t>Amounts entered here will appear in "Other Funding Sources" in Table 2</t>
  </si>
  <si>
    <t xml:space="preserve">
</t>
  </si>
  <si>
    <t>Amount</t>
  </si>
  <si>
    <t>% of Total 
Project Cost</t>
  </si>
  <si>
    <t>Sponsor Name or speedcode
**Note that Tri-Agency funds are not eligible to match to CFI</t>
  </si>
  <si>
    <t>Total Project Cost (incl. renovation contingency)</t>
  </si>
  <si>
    <t>NACTRC Overhead / ICR ($200,000 per year x 5 years)</t>
  </si>
  <si>
    <t>Estimated CFI envelope request</t>
  </si>
  <si>
    <t>Set at 40%</t>
  </si>
  <si>
    <t>University Hospital Foundation (CHIM if supported)</t>
  </si>
  <si>
    <t>Government of Alberta match</t>
  </si>
  <si>
    <t>Estimated In-kind contributions</t>
  </si>
  <si>
    <t>Aiming for 20%</t>
  </si>
  <si>
    <t xml:space="preserve">Other Funding Sources </t>
  </si>
  <si>
    <t>If 20% in-kind is not reached, additional funding is needed.</t>
  </si>
  <si>
    <t>*Balance</t>
  </si>
  <si>
    <t>Use Table 3 to list additional funding.</t>
  </si>
  <si>
    <t>TOTAL</t>
  </si>
  <si>
    <r>
      <rPr>
        <rFont val="Calibri"/>
        <color rgb="FF000000"/>
        <sz val="11.0"/>
      </rPr>
      <t xml:space="preserve">If the </t>
    </r>
    <r>
      <rPr>
        <rFont val="Calibri"/>
        <b/>
        <color rgb="FF000000"/>
        <sz val="11.0"/>
      </rPr>
      <t>*Balance</t>
    </r>
    <r>
      <rPr>
        <rFont val="Calibri"/>
        <color rgb="FF000000"/>
        <sz val="11.0"/>
      </rPr>
      <t xml:space="preserve"> is positive, there is a funding shortfall and additional eligible funding must be brought to the project. Please enter other funding sources in Table 3 to bring balance to $0.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</si>
</sst>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(&quot;$&quot;* #,##0.00_);_(&quot;$&quot;* \(#,##0.00\);_(&quot;$&quot;* &quot;-&quot;??_);_(@_)"/>
    <numFmt numFmtId="165" formatCode="0.0"/>
    <numFmt numFmtId="166" formatCode="_(&quot;$&quot;* #,##0_);_(&quot;$&quot;* \(#,##0\);_(&quot;$&quot;* &quot;-&quot;??_);_(@_)"/>
    <numFmt numFmtId="167" formatCode="_-* #,##0.00_-;\-* #,##0.00_-;_-* &quot;-&quot;??_-;_-@"/>
    <numFmt numFmtId="168" formatCode="_-&quot;$&quot;* #,##0_-;\-&quot;$&quot;* #,##0_-;_-&quot;$&quot;* &quot;-&quot;?_-;_-@"/>
    <numFmt numFmtId="169" formatCode="_-&quot;$&quot;* #,##0_-;\-&quot;$&quot;* #,##0_-;_-&quot;$&quot;* &quot;-&quot;??_-;_-@"/>
    <numFmt numFmtId="170" formatCode="_-&quot;$&quot;* #,##0.00_-;\-&quot;$&quot;* #,##0.00_-;_-&quot;$&quot;* &quot;-&quot;??_-;_-@"/>
  </numFmts>
  <fonts count="19">
    <font>
      <sz val="11.0"/>
      <color rgb="FF000000"/>
      <name val="Calibri"/>
      <scheme val="minor"/>
    </font>
    <font>
      <b/>
      <sz val="26.0"/>
      <color rgb="FF000000"/>
      <name val="Calibri"/>
    </font>
    <font>
      <b/>
      <sz val="11.0"/>
      <color rgb="FF000000"/>
      <name val="Calibri"/>
    </font>
    <font/>
    <font>
      <sz val="11.0"/>
      <color rgb="FF000000"/>
      <name val="Calibri"/>
    </font>
    <font>
      <b/>
      <sz val="14.0"/>
      <color rgb="FF000000"/>
      <name val="Calibri"/>
    </font>
    <font>
      <b/>
      <sz val="16.0"/>
      <color rgb="FF000000"/>
      <name val="Calibri"/>
    </font>
    <font>
      <sz val="16.0"/>
      <color theme="1"/>
      <name val="Calibri"/>
    </font>
    <font>
      <sz val="14.0"/>
      <color rgb="FF000000"/>
      <name val="Calibri"/>
    </font>
    <font>
      <b/>
      <sz val="14.0"/>
      <color theme="0"/>
      <name val="Calibri"/>
    </font>
    <font>
      <b/>
      <sz val="14.0"/>
      <color theme="1"/>
      <name val="Calibri"/>
    </font>
    <font>
      <b/>
      <sz val="10.0"/>
      <color rgb="FF000000"/>
      <name val="Calibri"/>
    </font>
    <font>
      <b/>
      <sz val="11.0"/>
      <color theme="0"/>
      <name val="Calibri"/>
    </font>
    <font>
      <sz val="11.0"/>
      <color theme="1"/>
      <name val="Calibri"/>
    </font>
    <font>
      <b/>
      <sz val="12.0"/>
      <color rgb="FF000000"/>
      <name val="Calibri"/>
    </font>
    <font>
      <b/>
      <sz val="14.0"/>
      <color rgb="FFFF0000"/>
      <name val="Calibri"/>
    </font>
    <font>
      <b/>
      <sz val="16.0"/>
      <color theme="1"/>
      <name val="Calibri"/>
    </font>
    <font>
      <b/>
      <sz val="11.0"/>
      <color rgb="FFBFBFBF"/>
      <name val="Calibri"/>
    </font>
    <font>
      <sz val="11.0"/>
      <color rgb="FFBFBFBF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2F2F2"/>
        <bgColor rgb="FFF2F2F2"/>
      </patternFill>
    </fill>
    <fill>
      <patternFill patternType="solid">
        <fgColor rgb="FF2E75B5"/>
        <bgColor rgb="FF2E75B5"/>
      </patternFill>
    </fill>
    <fill>
      <patternFill patternType="solid">
        <fgColor rgb="FFFF9966"/>
        <bgColor rgb="FFFF9966"/>
      </patternFill>
    </fill>
    <fill>
      <patternFill patternType="solid">
        <fgColor rgb="FFD8D8D8"/>
        <bgColor rgb="FFD8D8D8"/>
      </patternFill>
    </fill>
    <fill>
      <patternFill patternType="solid">
        <fgColor rgb="FFD9D9D9"/>
        <bgColor rgb="FFD9D9D9"/>
      </patternFill>
    </fill>
    <fill>
      <patternFill patternType="solid">
        <fgColor rgb="FFC5E0B3"/>
        <bgColor rgb="FFC5E0B3"/>
      </patternFill>
    </fill>
    <fill>
      <patternFill patternType="solid">
        <fgColor rgb="FFFFE598"/>
        <bgColor rgb="FFFFE598"/>
      </patternFill>
    </fill>
    <fill>
      <patternFill patternType="solid">
        <fgColor rgb="FFFFCCFF"/>
        <bgColor rgb="FFFFCCFF"/>
      </patternFill>
    </fill>
    <fill>
      <patternFill patternType="solid">
        <fgColor rgb="FFFFD965"/>
        <bgColor rgb="FFFFD965"/>
      </patternFill>
    </fill>
    <fill>
      <patternFill patternType="solid">
        <fgColor rgb="FF9CC2E5"/>
        <bgColor rgb="FF9CC2E5"/>
      </patternFill>
    </fill>
  </fills>
  <borders count="46">
    <border/>
    <border>
      <left style="thin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thin">
        <color rgb="FF000000"/>
      </right>
      <top/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0" xfId="0" applyFont="1"/>
    <xf borderId="1" fillId="2" fontId="2" numFmtId="164" xfId="0" applyAlignment="1" applyBorder="1" applyFill="1" applyFont="1" applyNumberFormat="1">
      <alignment horizontal="left" vertical="center"/>
    </xf>
    <xf borderId="2" fillId="0" fontId="3" numFmtId="0" xfId="0" applyBorder="1" applyFont="1"/>
    <xf borderId="3" fillId="0" fontId="3" numFmtId="0" xfId="0" applyBorder="1" applyFont="1"/>
    <xf borderId="0" fillId="0" fontId="4" numFmtId="164" xfId="0" applyAlignment="1" applyFont="1" applyNumberFormat="1">
      <alignment horizontal="right" shrinkToFit="0" vertical="top" wrapText="1"/>
    </xf>
    <xf borderId="0" fillId="0" fontId="4" numFmtId="164" xfId="0" applyFont="1" applyNumberFormat="1"/>
    <xf borderId="0" fillId="0" fontId="4" numFmtId="0" xfId="0" applyFont="1"/>
    <xf borderId="0" fillId="0" fontId="5" numFmtId="0" xfId="0" applyAlignment="1" applyFont="1">
      <alignment horizontal="left" shrinkToFit="0" wrapText="1"/>
    </xf>
    <xf borderId="4" fillId="3" fontId="5" numFmtId="0" xfId="0" applyAlignment="1" applyBorder="1" applyFill="1" applyFont="1">
      <alignment horizontal="left" shrinkToFit="0" vertical="center" wrapText="1"/>
    </xf>
    <xf borderId="5" fillId="0" fontId="3" numFmtId="0" xfId="0" applyBorder="1" applyFont="1"/>
    <xf borderId="6" fillId="0" fontId="3" numFmtId="0" xfId="0" applyBorder="1" applyFont="1"/>
    <xf borderId="0" fillId="0" fontId="5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left" shrinkToFit="0" vertical="top" wrapText="1"/>
    </xf>
    <xf borderId="4" fillId="3" fontId="6" numFmtId="0" xfId="0" applyAlignment="1" applyBorder="1" applyFont="1">
      <alignment horizontal="left" shrinkToFit="0" vertical="top" wrapText="1"/>
    </xf>
    <xf borderId="0" fillId="0" fontId="7" numFmtId="0" xfId="0" applyFont="1"/>
    <xf borderId="0" fillId="0" fontId="8" numFmtId="0" xfId="0" applyAlignment="1" applyFont="1">
      <alignment horizontal="left" shrinkToFit="0" vertical="top" wrapText="1"/>
    </xf>
    <xf borderId="0" fillId="0" fontId="8" numFmtId="0" xfId="0" applyFont="1"/>
    <xf borderId="4" fillId="0" fontId="5" numFmtId="0" xfId="0" applyAlignment="1" applyBorder="1" applyFont="1">
      <alignment horizontal="center" shrinkToFit="0" vertical="center" wrapText="1"/>
    </xf>
    <xf borderId="7" fillId="4" fontId="9" numFmtId="164" xfId="0" applyAlignment="1" applyBorder="1" applyFill="1" applyFont="1" applyNumberFormat="1">
      <alignment horizontal="center" shrinkToFit="0" vertical="center" wrapText="1"/>
    </xf>
    <xf borderId="8" fillId="0" fontId="3" numFmtId="0" xfId="0" applyBorder="1" applyFont="1"/>
    <xf borderId="9" fillId="0" fontId="10" numFmtId="0" xfId="0" applyAlignment="1" applyBorder="1" applyFont="1">
      <alignment horizontal="center" shrinkToFit="0" vertical="center" wrapText="1"/>
    </xf>
    <xf borderId="10" fillId="0" fontId="3" numFmtId="0" xfId="0" applyBorder="1" applyFont="1"/>
    <xf borderId="11" fillId="0" fontId="3" numFmtId="0" xfId="0" applyBorder="1" applyFont="1"/>
    <xf borderId="12" fillId="5" fontId="5" numFmtId="164" xfId="0" applyAlignment="1" applyBorder="1" applyFill="1" applyFont="1" applyNumberFormat="1">
      <alignment horizontal="center" shrinkToFit="0" vertical="center" wrapText="1"/>
    </xf>
    <xf borderId="0" fillId="0" fontId="10" numFmtId="0" xfId="0" applyAlignment="1" applyFont="1">
      <alignment shrinkToFit="0" vertical="center" wrapText="1"/>
    </xf>
    <xf borderId="0" fillId="0" fontId="5" numFmtId="0" xfId="0" applyAlignment="1" applyFont="1">
      <alignment shrinkToFit="0" vertical="center" wrapText="1"/>
    </xf>
    <xf borderId="13" fillId="6" fontId="11" numFmtId="0" xfId="0" applyAlignment="1" applyBorder="1" applyFill="1" applyFont="1">
      <alignment shrinkToFit="0" wrapText="1"/>
    </xf>
    <xf borderId="14" fillId="6" fontId="11" numFmtId="0" xfId="0" applyAlignment="1" applyBorder="1" applyFont="1">
      <alignment shrinkToFit="0" wrapText="1"/>
    </xf>
    <xf borderId="15" fillId="4" fontId="12" numFmtId="164" xfId="0" applyAlignment="1" applyBorder="1" applyFont="1" applyNumberFormat="1">
      <alignment horizontal="center" shrinkToFit="0" wrapText="1"/>
    </xf>
    <xf borderId="16" fillId="4" fontId="12" numFmtId="164" xfId="0" applyAlignment="1" applyBorder="1" applyFont="1" applyNumberFormat="1">
      <alignment horizontal="center" shrinkToFit="0" wrapText="1"/>
    </xf>
    <xf borderId="17" fillId="6" fontId="11" numFmtId="164" xfId="0" applyAlignment="1" applyBorder="1" applyFont="1" applyNumberFormat="1">
      <alignment shrinkToFit="0" wrapText="1"/>
    </xf>
    <xf borderId="18" fillId="6" fontId="11" numFmtId="164" xfId="0" applyAlignment="1" applyBorder="1" applyFont="1" applyNumberFormat="1">
      <alignment shrinkToFit="0" wrapText="1"/>
    </xf>
    <xf borderId="18" fillId="7" fontId="11" numFmtId="164" xfId="0" applyAlignment="1" applyBorder="1" applyFill="1" applyFont="1" applyNumberFormat="1">
      <alignment shrinkToFit="0" wrapText="1"/>
    </xf>
    <xf borderId="18" fillId="6" fontId="11" numFmtId="9" xfId="0" applyAlignment="1" applyBorder="1" applyFont="1" applyNumberFormat="1">
      <alignment shrinkToFit="0" wrapText="1"/>
    </xf>
    <xf borderId="16" fillId="6" fontId="11" numFmtId="164" xfId="0" applyAlignment="1" applyBorder="1" applyFont="1" applyNumberFormat="1">
      <alignment shrinkToFit="0" wrapText="1"/>
    </xf>
    <xf borderId="13" fillId="5" fontId="11" numFmtId="164" xfId="0" applyAlignment="1" applyBorder="1" applyFont="1" applyNumberFormat="1">
      <alignment shrinkToFit="0" wrapText="1"/>
    </xf>
    <xf borderId="0" fillId="0" fontId="4" numFmtId="0" xfId="0" applyAlignment="1" applyFont="1">
      <alignment shrinkToFit="0" wrapText="1"/>
    </xf>
    <xf borderId="19" fillId="0" fontId="4" numFmtId="0" xfId="0" applyAlignment="1" applyBorder="1" applyFont="1">
      <alignment horizontal="center" shrinkToFit="0" wrapText="1"/>
    </xf>
    <xf borderId="20" fillId="8" fontId="4" numFmtId="0" xfId="0" applyAlignment="1" applyBorder="1" applyFill="1" applyFont="1">
      <alignment readingOrder="0"/>
    </xf>
    <xf borderId="21" fillId="8" fontId="4" numFmtId="49" xfId="0" applyAlignment="1" applyBorder="1" applyFont="1" applyNumberFormat="1">
      <alignment horizontal="center" readingOrder="0"/>
    </xf>
    <xf borderId="22" fillId="8" fontId="4" numFmtId="165" xfId="0" applyAlignment="1" applyBorder="1" applyFont="1" applyNumberFormat="1">
      <alignment horizontal="center" readingOrder="0"/>
    </xf>
    <xf borderId="23" fillId="8" fontId="4" numFmtId="164" xfId="0" applyAlignment="1" applyBorder="1" applyFont="1" applyNumberFormat="1">
      <alignment readingOrder="0"/>
    </xf>
    <xf borderId="24" fillId="8" fontId="4" numFmtId="164" xfId="0" applyAlignment="1" applyBorder="1" applyFont="1" applyNumberFormat="1">
      <alignment readingOrder="0"/>
    </xf>
    <xf borderId="24" fillId="7" fontId="4" numFmtId="164" xfId="0" applyBorder="1" applyFont="1" applyNumberFormat="1"/>
    <xf borderId="24" fillId="7" fontId="4" numFmtId="9" xfId="0" applyAlignment="1" applyBorder="1" applyFont="1" applyNumberFormat="1">
      <alignment horizontal="center"/>
    </xf>
    <xf borderId="22" fillId="7" fontId="4" numFmtId="164" xfId="0" applyBorder="1" applyFont="1" applyNumberFormat="1"/>
    <xf borderId="23" fillId="6" fontId="4" numFmtId="164" xfId="0" applyBorder="1" applyFont="1" applyNumberFormat="1"/>
    <xf borderId="12" fillId="5" fontId="4" numFmtId="164" xfId="0" applyBorder="1" applyFont="1" applyNumberFormat="1"/>
    <xf borderId="25" fillId="0" fontId="4" numFmtId="0" xfId="0" applyAlignment="1" applyBorder="1" applyFont="1">
      <alignment horizontal="center" shrinkToFit="0" wrapText="1"/>
    </xf>
    <xf borderId="26" fillId="8" fontId="4" numFmtId="0" xfId="0" applyAlignment="1" applyBorder="1" applyFont="1">
      <alignment readingOrder="0"/>
    </xf>
    <xf borderId="27" fillId="8" fontId="4" numFmtId="49" xfId="0" applyAlignment="1" applyBorder="1" applyFont="1" applyNumberFormat="1">
      <alignment horizontal="center" readingOrder="0"/>
    </xf>
    <xf borderId="28" fillId="8" fontId="4" numFmtId="165" xfId="0" applyAlignment="1" applyBorder="1" applyFont="1" applyNumberFormat="1">
      <alignment horizontal="center" readingOrder="0"/>
    </xf>
    <xf borderId="29" fillId="8" fontId="4" numFmtId="164" xfId="0" applyAlignment="1" applyBorder="1" applyFont="1" applyNumberFormat="1">
      <alignment readingOrder="0"/>
    </xf>
    <xf borderId="30" fillId="8" fontId="4" numFmtId="164" xfId="0" applyAlignment="1" applyBorder="1" applyFont="1" applyNumberFormat="1">
      <alignment readingOrder="0"/>
    </xf>
    <xf borderId="30" fillId="7" fontId="4" numFmtId="164" xfId="0" applyBorder="1" applyFont="1" applyNumberFormat="1"/>
    <xf borderId="28" fillId="7" fontId="4" numFmtId="164" xfId="0" applyBorder="1" applyFont="1" applyNumberFormat="1"/>
    <xf borderId="25" fillId="5" fontId="4" numFmtId="164" xfId="0" applyBorder="1" applyFont="1" applyNumberFormat="1"/>
    <xf borderId="0" fillId="0" fontId="13" numFmtId="0" xfId="0" applyFont="1"/>
    <xf borderId="30" fillId="8" fontId="4" numFmtId="164" xfId="0" applyBorder="1" applyFont="1" applyNumberFormat="1"/>
    <xf borderId="25" fillId="0" fontId="4" numFmtId="0" xfId="0" applyAlignment="1" applyBorder="1" applyFont="1">
      <alignment horizontal="center" readingOrder="0" shrinkToFit="0" wrapText="1"/>
    </xf>
    <xf borderId="30" fillId="7" fontId="4" numFmtId="164" xfId="0" applyAlignment="1" applyBorder="1" applyFont="1" applyNumberFormat="1">
      <alignment readingOrder="0"/>
    </xf>
    <xf borderId="24" fillId="7" fontId="4" numFmtId="9" xfId="0" applyAlignment="1" applyBorder="1" applyFont="1" applyNumberFormat="1">
      <alignment horizontal="center" readingOrder="0"/>
    </xf>
    <xf borderId="26" fillId="8" fontId="4" numFmtId="0" xfId="0" applyBorder="1" applyFont="1"/>
    <xf borderId="27" fillId="8" fontId="4" numFmtId="49" xfId="0" applyAlignment="1" applyBorder="1" applyFont="1" applyNumberFormat="1">
      <alignment horizontal="center"/>
    </xf>
    <xf borderId="28" fillId="8" fontId="4" numFmtId="165" xfId="0" applyAlignment="1" applyBorder="1" applyFont="1" applyNumberFormat="1">
      <alignment horizontal="center"/>
    </xf>
    <xf borderId="29" fillId="8" fontId="4" numFmtId="164" xfId="0" applyBorder="1" applyFont="1" applyNumberFormat="1"/>
    <xf borderId="31" fillId="6" fontId="2" numFmtId="0" xfId="0" applyAlignment="1" applyBorder="1" applyFont="1">
      <alignment horizontal="right" shrinkToFit="0" wrapText="1"/>
    </xf>
    <xf borderId="16" fillId="6" fontId="2" numFmtId="0" xfId="0" applyAlignment="1" applyBorder="1" applyFont="1">
      <alignment horizontal="right"/>
    </xf>
    <xf borderId="15" fillId="6" fontId="2" numFmtId="164" xfId="0" applyBorder="1" applyFont="1" applyNumberFormat="1"/>
    <xf borderId="16" fillId="6" fontId="2" numFmtId="164" xfId="0" applyAlignment="1" applyBorder="1" applyFont="1" applyNumberFormat="1">
      <alignment horizontal="right"/>
    </xf>
    <xf borderId="17" fillId="6" fontId="2" numFmtId="164" xfId="0" applyBorder="1" applyFont="1" applyNumberFormat="1"/>
    <xf borderId="18" fillId="6" fontId="2" numFmtId="164" xfId="0" applyBorder="1" applyFont="1" applyNumberFormat="1"/>
    <xf borderId="18" fillId="7" fontId="2" numFmtId="9" xfId="0" applyBorder="1" applyFont="1" applyNumberFormat="1"/>
    <xf borderId="16" fillId="6" fontId="2" numFmtId="164" xfId="0" applyBorder="1" applyFont="1" applyNumberFormat="1"/>
    <xf borderId="13" fillId="5" fontId="2" numFmtId="166" xfId="0" applyBorder="1" applyFont="1" applyNumberFormat="1"/>
    <xf borderId="0" fillId="0" fontId="2" numFmtId="0" xfId="0" applyFont="1"/>
    <xf borderId="0" fillId="0" fontId="2" numFmtId="0" xfId="0" applyAlignment="1" applyFont="1">
      <alignment horizontal="right" shrinkToFit="0" wrapText="1"/>
    </xf>
    <xf borderId="0" fillId="0" fontId="2" numFmtId="0" xfId="0" applyAlignment="1" applyFont="1">
      <alignment horizontal="right"/>
    </xf>
    <xf borderId="0" fillId="0" fontId="2" numFmtId="164" xfId="0" applyFont="1" applyNumberFormat="1"/>
    <xf borderId="0" fillId="0" fontId="4" numFmtId="9" xfId="0" applyFont="1" applyNumberFormat="1"/>
    <xf borderId="32" fillId="9" fontId="14" numFmtId="0" xfId="0" applyAlignment="1" applyBorder="1" applyFill="1" applyFont="1">
      <alignment horizontal="right"/>
    </xf>
    <xf borderId="14" fillId="9" fontId="2" numFmtId="166" xfId="0" applyBorder="1" applyFont="1" applyNumberFormat="1"/>
    <xf borderId="0" fillId="0" fontId="15" numFmtId="0" xfId="0" applyAlignment="1" applyFont="1">
      <alignment horizontal="left" shrinkToFit="0" vertical="top" wrapText="1"/>
    </xf>
    <xf borderId="33" fillId="3" fontId="16" numFmtId="0" xfId="0" applyAlignment="1" applyBorder="1" applyFont="1">
      <alignment horizontal="left" shrinkToFit="0" vertical="center" wrapText="1"/>
    </xf>
    <xf borderId="34" fillId="0" fontId="3" numFmtId="0" xfId="0" applyBorder="1" applyFont="1"/>
    <xf borderId="35" fillId="0" fontId="3" numFmtId="0" xfId="0" applyBorder="1" applyFont="1"/>
    <xf borderId="33" fillId="10" fontId="6" numFmtId="0" xfId="0" applyAlignment="1" applyBorder="1" applyFill="1" applyFont="1">
      <alignment horizontal="left" vertical="center"/>
    </xf>
    <xf borderId="33" fillId="0" fontId="15" numFmtId="0" xfId="0" applyAlignment="1" applyBorder="1" applyFont="1">
      <alignment horizontal="left" shrinkToFit="0" vertical="center" wrapText="1"/>
    </xf>
    <xf borderId="33" fillId="10" fontId="14" numFmtId="0" xfId="0" applyAlignment="1" applyBorder="1" applyFont="1">
      <alignment horizontal="left" shrinkToFit="0" wrapText="1"/>
    </xf>
    <xf borderId="0" fillId="0" fontId="13" numFmtId="0" xfId="0" applyAlignment="1" applyFont="1">
      <alignment shrinkToFit="0" wrapText="1"/>
    </xf>
    <xf borderId="36" fillId="0" fontId="2" numFmtId="0" xfId="0" applyBorder="1" applyFont="1"/>
    <xf borderId="36" fillId="0" fontId="14" numFmtId="0" xfId="0" applyAlignment="1" applyBorder="1" applyFont="1">
      <alignment horizontal="center" vertical="center"/>
    </xf>
    <xf borderId="36" fillId="0" fontId="14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left" shrinkToFit="0" wrapText="1"/>
    </xf>
    <xf borderId="33" fillId="10" fontId="2" numFmtId="0" xfId="0" applyAlignment="1" applyBorder="1" applyFont="1">
      <alignment horizontal="left" shrinkToFit="0" wrapText="1"/>
    </xf>
    <xf borderId="30" fillId="10" fontId="2" numFmtId="164" xfId="0" applyAlignment="1" applyBorder="1" applyFont="1" applyNumberFormat="1">
      <alignment shrinkToFit="0" wrapText="1"/>
    </xf>
    <xf borderId="30" fillId="5" fontId="2" numFmtId="0" xfId="0" applyBorder="1" applyFont="1"/>
    <xf borderId="30" fillId="5" fontId="2" numFmtId="166" xfId="0" applyBorder="1" applyFont="1" applyNumberFormat="1"/>
    <xf borderId="30" fillId="5" fontId="4" numFmtId="9" xfId="0" applyBorder="1" applyFont="1" applyNumberFormat="1"/>
    <xf borderId="33" fillId="8" fontId="4" numFmtId="164" xfId="0" applyAlignment="1" applyBorder="1" applyFont="1" applyNumberFormat="1">
      <alignment horizontal="left" readingOrder="0"/>
    </xf>
    <xf borderId="30" fillId="8" fontId="4" numFmtId="166" xfId="0" applyAlignment="1" applyBorder="1" applyFont="1" applyNumberFormat="1">
      <alignment readingOrder="0"/>
    </xf>
    <xf borderId="30" fillId="11" fontId="4" numFmtId="0" xfId="0" applyBorder="1" applyFill="1" applyFont="1"/>
    <xf borderId="30" fillId="11" fontId="4" numFmtId="166" xfId="0" applyBorder="1" applyFont="1" applyNumberFormat="1"/>
    <xf borderId="30" fillId="11" fontId="4" numFmtId="10" xfId="0" applyBorder="1" applyFont="1" applyNumberFormat="1"/>
    <xf borderId="37" fillId="11" fontId="4" numFmtId="164" xfId="0" applyAlignment="1" applyBorder="1" applyFont="1" applyNumberFormat="1">
      <alignment shrinkToFit="0" wrapText="1"/>
    </xf>
    <xf borderId="0" fillId="0" fontId="2" numFmtId="164" xfId="0" applyAlignment="1" applyFont="1" applyNumberFormat="1">
      <alignment shrinkToFit="0" wrapText="1"/>
    </xf>
    <xf borderId="33" fillId="8" fontId="4" numFmtId="164" xfId="0" applyAlignment="1" applyBorder="1" applyFont="1" applyNumberFormat="1">
      <alignment horizontal="left"/>
    </xf>
    <xf borderId="30" fillId="8" fontId="4" numFmtId="166" xfId="0" applyBorder="1" applyFont="1" applyNumberFormat="1"/>
    <xf borderId="30" fillId="12" fontId="4" numFmtId="0" xfId="0" applyBorder="1" applyFill="1" applyFont="1"/>
    <xf borderId="30" fillId="12" fontId="4" numFmtId="166" xfId="0" applyBorder="1" applyFont="1" applyNumberFormat="1"/>
    <xf borderId="30" fillId="12" fontId="4" numFmtId="10" xfId="0" applyBorder="1" applyFont="1" applyNumberFormat="1"/>
    <xf borderId="38" fillId="12" fontId="4" numFmtId="164" xfId="0" applyBorder="1" applyFont="1" applyNumberFormat="1"/>
    <xf borderId="30" fillId="10" fontId="4" numFmtId="0" xfId="0" applyBorder="1" applyFont="1"/>
    <xf borderId="30" fillId="10" fontId="4" numFmtId="166" xfId="0" applyBorder="1" applyFont="1" applyNumberFormat="1"/>
    <xf borderId="30" fillId="10" fontId="4" numFmtId="10" xfId="0" applyBorder="1" applyFont="1" applyNumberFormat="1"/>
    <xf borderId="38" fillId="10" fontId="4" numFmtId="164" xfId="0" applyBorder="1" applyFont="1" applyNumberFormat="1"/>
    <xf borderId="38" fillId="10" fontId="13" numFmtId="0" xfId="0" applyBorder="1" applyFont="1"/>
    <xf borderId="39" fillId="2" fontId="2" numFmtId="0" xfId="0" applyAlignment="1" applyBorder="1" applyFont="1">
      <alignment horizontal="right"/>
    </xf>
    <xf borderId="39" fillId="2" fontId="2" numFmtId="164" xfId="0" applyBorder="1" applyFont="1" applyNumberFormat="1"/>
    <xf borderId="39" fillId="2" fontId="2" numFmtId="10" xfId="0" applyBorder="1" applyFont="1" applyNumberFormat="1"/>
    <xf borderId="33" fillId="10" fontId="2" numFmtId="0" xfId="0" applyAlignment="1" applyBorder="1" applyFont="1">
      <alignment horizontal="right"/>
    </xf>
    <xf borderId="40" fillId="2" fontId="4" numFmtId="0" xfId="0" applyAlignment="1" applyBorder="1" applyFont="1">
      <alignment horizontal="left" shrinkToFit="0" vertical="top" wrapText="1"/>
    </xf>
    <xf borderId="41" fillId="0" fontId="3" numFmtId="0" xfId="0" applyBorder="1" applyFont="1"/>
    <xf borderId="42" fillId="0" fontId="3" numFmtId="0" xfId="0" applyBorder="1" applyFont="1"/>
    <xf borderId="43" fillId="0" fontId="3" numFmtId="0" xfId="0" applyBorder="1" applyFont="1"/>
    <xf borderId="44" fillId="0" fontId="3" numFmtId="0" xfId="0" applyBorder="1" applyFont="1"/>
    <xf borderId="45" fillId="0" fontId="3" numFmtId="0" xfId="0" applyBorder="1" applyFont="1"/>
    <xf borderId="0" fillId="0" fontId="4" numFmtId="0" xfId="0" applyAlignment="1" applyFont="1">
      <alignment horizontal="left" shrinkToFit="0" vertical="top" wrapText="1"/>
    </xf>
    <xf borderId="0" fillId="0" fontId="4" numFmtId="166" xfId="0" applyAlignment="1" applyFont="1" applyNumberFormat="1">
      <alignment horizontal="left" shrinkToFit="0" vertical="top" wrapText="1"/>
    </xf>
    <xf borderId="0" fillId="0" fontId="5" numFmtId="167" xfId="0" applyAlignment="1" applyFont="1" applyNumberFormat="1">
      <alignment horizontal="left" shrinkToFit="0" vertical="top" wrapText="1"/>
    </xf>
    <xf borderId="0" fillId="0" fontId="2" numFmtId="0" xfId="0" applyAlignment="1" applyFont="1">
      <alignment horizontal="left" shrinkToFit="0" vertical="top" wrapText="1"/>
    </xf>
    <xf borderId="0" fillId="0" fontId="2" numFmtId="0" xfId="0" applyAlignment="1" applyFont="1">
      <alignment horizontal="right" vertical="center"/>
    </xf>
    <xf borderId="0" fillId="0" fontId="4" numFmtId="168" xfId="0" applyAlignment="1" applyFont="1" applyNumberFormat="1">
      <alignment horizontal="left" vertical="center"/>
    </xf>
    <xf borderId="0" fillId="0" fontId="4" numFmtId="0" xfId="0" applyAlignment="1" applyFont="1">
      <alignment horizontal="left" vertical="top"/>
    </xf>
    <xf borderId="0" fillId="0" fontId="4" numFmtId="166" xfId="0" applyAlignment="1" applyFont="1" applyNumberFormat="1">
      <alignment horizontal="left" vertical="top"/>
    </xf>
    <xf borderId="0" fillId="0" fontId="4" numFmtId="167" xfId="0" applyAlignment="1" applyFont="1" applyNumberFormat="1">
      <alignment horizontal="left" vertical="top"/>
    </xf>
    <xf borderId="0" fillId="0" fontId="17" numFmtId="0" xfId="0" applyAlignment="1" applyFont="1">
      <alignment horizontal="right" vertical="center"/>
    </xf>
    <xf borderId="0" fillId="0" fontId="18" numFmtId="169" xfId="0" applyAlignment="1" applyFont="1" applyNumberFormat="1">
      <alignment horizontal="left" vertical="center"/>
    </xf>
    <xf borderId="0" fillId="0" fontId="5" numFmtId="9" xfId="0" applyAlignment="1" applyFont="1" applyNumberFormat="1">
      <alignment horizontal="left" shrinkToFit="0" vertical="top" wrapText="1"/>
    </xf>
    <xf borderId="0" fillId="0" fontId="4" numFmtId="17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1"/>
  <cols>
    <col customWidth="1" min="1" max="1" width="11.14"/>
    <col customWidth="1" min="2" max="2" width="72.0"/>
    <col customWidth="1" min="3" max="3" width="17.71"/>
    <col customWidth="1" min="4" max="9" width="20.0"/>
    <col customWidth="1" min="10" max="10" width="15.0"/>
    <col customWidth="1" min="11" max="11" width="20.0"/>
    <col customWidth="1" min="12" max="12" width="20.29"/>
    <col customWidth="1" min="13" max="14" width="21.0"/>
  </cols>
  <sheetData>
    <row r="1">
      <c r="A1" s="1"/>
      <c r="B1" s="2" t="s">
        <v>0</v>
      </c>
      <c r="C1" s="3" t="s">
        <v>1</v>
      </c>
      <c r="D1" s="4"/>
      <c r="E1" s="4"/>
      <c r="F1" s="4"/>
      <c r="G1" s="4"/>
      <c r="H1" s="4"/>
      <c r="I1" s="4"/>
      <c r="J1" s="5"/>
      <c r="K1" s="6" t="s">
        <v>2</v>
      </c>
      <c r="L1" s="7"/>
      <c r="M1" s="7"/>
      <c r="N1" s="7"/>
      <c r="O1" s="7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264.75" customHeight="1">
      <c r="A2" s="9"/>
      <c r="B2" s="10" t="s">
        <v>3</v>
      </c>
      <c r="C2" s="11"/>
      <c r="D2" s="11"/>
      <c r="E2" s="11"/>
      <c r="F2" s="11"/>
      <c r="G2" s="11"/>
      <c r="H2" s="11"/>
      <c r="I2" s="11"/>
      <c r="J2" s="11"/>
      <c r="K2" s="12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9"/>
      <c r="B3" s="13"/>
      <c r="C3" s="13"/>
      <c r="D3" s="13"/>
      <c r="E3" s="13"/>
      <c r="F3" s="13"/>
      <c r="G3" s="13"/>
      <c r="H3" s="13"/>
      <c r="I3" s="13"/>
      <c r="J3" s="13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46.5" customHeight="1">
      <c r="A4" s="14"/>
      <c r="B4" s="15" t="s">
        <v>4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/>
      <c r="O4" s="16"/>
      <c r="P4" s="17"/>
      <c r="Q4" s="17"/>
      <c r="R4" s="18"/>
      <c r="S4" s="18"/>
      <c r="T4" s="18"/>
      <c r="U4" s="18"/>
      <c r="V4" s="18"/>
      <c r="W4" s="18"/>
      <c r="X4" s="18"/>
      <c r="Y4" s="18"/>
      <c r="Z4" s="8"/>
    </row>
    <row r="5">
      <c r="A5" s="19" t="s">
        <v>5</v>
      </c>
      <c r="B5" s="12"/>
      <c r="C5" s="20" t="s">
        <v>6</v>
      </c>
      <c r="D5" s="21"/>
      <c r="E5" s="22" t="s">
        <v>7</v>
      </c>
      <c r="F5" s="23"/>
      <c r="G5" s="23"/>
      <c r="H5" s="23"/>
      <c r="I5" s="23"/>
      <c r="J5" s="23"/>
      <c r="K5" s="24"/>
      <c r="L5" s="22" t="s">
        <v>8</v>
      </c>
      <c r="M5" s="24"/>
      <c r="N5" s="25" t="s">
        <v>9</v>
      </c>
      <c r="O5" s="26"/>
      <c r="P5" s="13"/>
      <c r="Q5" s="13"/>
      <c r="R5" s="27"/>
      <c r="S5" s="27"/>
      <c r="T5" s="27"/>
      <c r="U5" s="27"/>
      <c r="V5" s="27"/>
      <c r="W5" s="27"/>
      <c r="X5" s="27"/>
      <c r="Y5" s="27"/>
      <c r="Z5" s="27"/>
    </row>
    <row r="6" ht="80.25" customHeight="1">
      <c r="A6" s="28" t="s">
        <v>10</v>
      </c>
      <c r="B6" s="29" t="s">
        <v>11</v>
      </c>
      <c r="C6" s="30" t="s">
        <v>12</v>
      </c>
      <c r="D6" s="31" t="s">
        <v>13</v>
      </c>
      <c r="E6" s="32" t="s">
        <v>14</v>
      </c>
      <c r="F6" s="33" t="s">
        <v>15</v>
      </c>
      <c r="G6" s="33" t="s">
        <v>16</v>
      </c>
      <c r="H6" s="34" t="s">
        <v>17</v>
      </c>
      <c r="I6" s="35" t="s">
        <v>18</v>
      </c>
      <c r="J6" s="35" t="s">
        <v>19</v>
      </c>
      <c r="K6" s="36" t="s">
        <v>20</v>
      </c>
      <c r="L6" s="32" t="s">
        <v>21</v>
      </c>
      <c r="M6" s="36" t="s">
        <v>22</v>
      </c>
      <c r="N6" s="37" t="s">
        <v>23</v>
      </c>
      <c r="O6" s="38"/>
      <c r="P6" s="8"/>
      <c r="Q6" s="8"/>
      <c r="R6" s="8"/>
      <c r="S6" s="8"/>
      <c r="T6" s="8"/>
      <c r="U6" s="38"/>
      <c r="V6" s="38"/>
      <c r="W6" s="38"/>
      <c r="X6" s="38"/>
      <c r="Y6" s="8"/>
      <c r="Z6" s="8"/>
    </row>
    <row r="7">
      <c r="A7" s="39">
        <v>1.0</v>
      </c>
      <c r="B7" s="40" t="s">
        <v>24</v>
      </c>
      <c r="C7" s="41" t="s">
        <v>25</v>
      </c>
      <c r="D7" s="42">
        <v>1.0</v>
      </c>
      <c r="E7" s="43">
        <v>200000.0</v>
      </c>
      <c r="F7" s="44">
        <v>0.0</v>
      </c>
      <c r="G7" s="44">
        <v>0.0</v>
      </c>
      <c r="H7" s="45">
        <f t="shared" ref="H7:H44" si="1">E7-F7-G7</f>
        <v>200000</v>
      </c>
      <c r="I7" s="44">
        <v>40000.0</v>
      </c>
      <c r="J7" s="46">
        <f t="shared" ref="J7:J44" si="2">I7/H7</f>
        <v>0.2</v>
      </c>
      <c r="K7" s="47">
        <f t="shared" ref="K7:K46" si="3">H7-I7</f>
        <v>160000</v>
      </c>
      <c r="L7" s="48">
        <f t="shared" ref="L7:L46" si="4">K7*D7*1.05</f>
        <v>168000</v>
      </c>
      <c r="M7" s="47">
        <f t="shared" ref="M7:M46" si="5">I7*D7</f>
        <v>40000</v>
      </c>
      <c r="N7" s="49">
        <f t="shared" ref="N7:N46" si="6">L7+M7</f>
        <v>208000</v>
      </c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50">
        <f t="shared" ref="A8:A32" si="7">1+A7</f>
        <v>2</v>
      </c>
      <c r="B8" s="51" t="s">
        <v>26</v>
      </c>
      <c r="C8" s="52" t="s">
        <v>25</v>
      </c>
      <c r="D8" s="53">
        <v>1.0</v>
      </c>
      <c r="E8" s="54">
        <v>100000.0</v>
      </c>
      <c r="F8" s="55">
        <v>0.0</v>
      </c>
      <c r="G8" s="55">
        <v>0.0</v>
      </c>
      <c r="H8" s="56">
        <f t="shared" si="1"/>
        <v>100000</v>
      </c>
      <c r="I8" s="55">
        <v>20000.0</v>
      </c>
      <c r="J8" s="46">
        <f t="shared" si="2"/>
        <v>0.2</v>
      </c>
      <c r="K8" s="57">
        <f t="shared" si="3"/>
        <v>80000</v>
      </c>
      <c r="L8" s="48">
        <f t="shared" si="4"/>
        <v>84000</v>
      </c>
      <c r="M8" s="57">
        <f t="shared" si="5"/>
        <v>20000</v>
      </c>
      <c r="N8" s="58">
        <f t="shared" si="6"/>
        <v>104000</v>
      </c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50">
        <f t="shared" si="7"/>
        <v>3</v>
      </c>
      <c r="B9" s="51" t="s">
        <v>27</v>
      </c>
      <c r="C9" s="52" t="s">
        <v>25</v>
      </c>
      <c r="D9" s="53">
        <v>1.0</v>
      </c>
      <c r="E9" s="54">
        <v>200000.0</v>
      </c>
      <c r="F9" s="55">
        <v>0.0</v>
      </c>
      <c r="G9" s="55">
        <v>0.0</v>
      </c>
      <c r="H9" s="56">
        <f t="shared" si="1"/>
        <v>200000</v>
      </c>
      <c r="I9" s="55">
        <v>40000.0</v>
      </c>
      <c r="J9" s="46">
        <f t="shared" si="2"/>
        <v>0.2</v>
      </c>
      <c r="K9" s="57">
        <f t="shared" si="3"/>
        <v>160000</v>
      </c>
      <c r="L9" s="48">
        <f t="shared" si="4"/>
        <v>168000</v>
      </c>
      <c r="M9" s="57">
        <f t="shared" si="5"/>
        <v>40000</v>
      </c>
      <c r="N9" s="58">
        <f t="shared" si="6"/>
        <v>208000</v>
      </c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50">
        <f t="shared" si="7"/>
        <v>4</v>
      </c>
      <c r="B10" s="51" t="s">
        <v>28</v>
      </c>
      <c r="C10" s="52" t="s">
        <v>25</v>
      </c>
      <c r="D10" s="53">
        <v>1.0</v>
      </c>
      <c r="E10" s="54">
        <v>260000.0</v>
      </c>
      <c r="F10" s="55">
        <v>0.0</v>
      </c>
      <c r="G10" s="55">
        <v>0.0</v>
      </c>
      <c r="H10" s="56">
        <f t="shared" si="1"/>
        <v>260000</v>
      </c>
      <c r="I10" s="55">
        <v>52000.0</v>
      </c>
      <c r="J10" s="46">
        <f t="shared" si="2"/>
        <v>0.2</v>
      </c>
      <c r="K10" s="57">
        <f t="shared" si="3"/>
        <v>208000</v>
      </c>
      <c r="L10" s="48">
        <f t="shared" si="4"/>
        <v>218400</v>
      </c>
      <c r="M10" s="57">
        <f t="shared" si="5"/>
        <v>52000</v>
      </c>
      <c r="N10" s="58">
        <f t="shared" si="6"/>
        <v>270400</v>
      </c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50">
        <f t="shared" si="7"/>
        <v>5</v>
      </c>
      <c r="B11" s="51" t="s">
        <v>29</v>
      </c>
      <c r="C11" s="52" t="s">
        <v>25</v>
      </c>
      <c r="D11" s="53">
        <v>1.0</v>
      </c>
      <c r="E11" s="54">
        <v>140000.0</v>
      </c>
      <c r="F11" s="55">
        <v>0.0</v>
      </c>
      <c r="G11" s="55">
        <v>0.0</v>
      </c>
      <c r="H11" s="56">
        <f t="shared" si="1"/>
        <v>140000</v>
      </c>
      <c r="I11" s="55">
        <v>28000.0</v>
      </c>
      <c r="J11" s="46">
        <f t="shared" si="2"/>
        <v>0.2</v>
      </c>
      <c r="K11" s="57">
        <f t="shared" si="3"/>
        <v>112000</v>
      </c>
      <c r="L11" s="48">
        <f t="shared" si="4"/>
        <v>117600</v>
      </c>
      <c r="M11" s="57">
        <f t="shared" si="5"/>
        <v>28000</v>
      </c>
      <c r="N11" s="58">
        <f t="shared" si="6"/>
        <v>145600</v>
      </c>
      <c r="O11" s="8"/>
      <c r="P11" s="8"/>
      <c r="Q11" s="8"/>
      <c r="R11" s="8"/>
      <c r="S11" s="8"/>
      <c r="T11" s="8"/>
      <c r="U11" s="59"/>
      <c r="V11" s="59"/>
      <c r="W11" s="59"/>
      <c r="X11" s="59"/>
      <c r="Y11" s="8"/>
      <c r="Z11" s="8"/>
    </row>
    <row r="12">
      <c r="A12" s="50">
        <f t="shared" si="7"/>
        <v>6</v>
      </c>
      <c r="B12" s="51" t="s">
        <v>30</v>
      </c>
      <c r="C12" s="52" t="s">
        <v>25</v>
      </c>
      <c r="D12" s="53">
        <v>1.0</v>
      </c>
      <c r="E12" s="54">
        <v>100000.0</v>
      </c>
      <c r="F12" s="55">
        <v>0.0</v>
      </c>
      <c r="G12" s="55">
        <v>0.0</v>
      </c>
      <c r="H12" s="56">
        <f t="shared" si="1"/>
        <v>100000</v>
      </c>
      <c r="I12" s="55">
        <v>20000.0</v>
      </c>
      <c r="J12" s="46">
        <f t="shared" si="2"/>
        <v>0.2</v>
      </c>
      <c r="K12" s="57">
        <f t="shared" si="3"/>
        <v>80000</v>
      </c>
      <c r="L12" s="48">
        <f t="shared" si="4"/>
        <v>84000</v>
      </c>
      <c r="M12" s="57">
        <f t="shared" si="5"/>
        <v>20000</v>
      </c>
      <c r="N12" s="58">
        <f t="shared" si="6"/>
        <v>104000</v>
      </c>
      <c r="O12" s="8"/>
      <c r="P12" s="8"/>
      <c r="Q12" s="8"/>
      <c r="R12" s="8"/>
      <c r="S12" s="8"/>
      <c r="T12" s="8"/>
      <c r="U12" s="8"/>
      <c r="V12" s="59"/>
      <c r="W12" s="59"/>
      <c r="X12" s="59"/>
      <c r="Y12" s="8"/>
      <c r="Z12" s="8"/>
    </row>
    <row r="13">
      <c r="A13" s="50">
        <f t="shared" si="7"/>
        <v>7</v>
      </c>
      <c r="B13" s="51" t="s">
        <v>31</v>
      </c>
      <c r="C13" s="52" t="s">
        <v>25</v>
      </c>
      <c r="D13" s="53">
        <v>1.0</v>
      </c>
      <c r="E13" s="54">
        <v>200000.0</v>
      </c>
      <c r="F13" s="55">
        <v>0.0</v>
      </c>
      <c r="G13" s="55">
        <v>0.0</v>
      </c>
      <c r="H13" s="56">
        <f t="shared" si="1"/>
        <v>200000</v>
      </c>
      <c r="I13" s="55">
        <v>40000.0</v>
      </c>
      <c r="J13" s="46">
        <f t="shared" si="2"/>
        <v>0.2</v>
      </c>
      <c r="K13" s="57">
        <f t="shared" si="3"/>
        <v>160000</v>
      </c>
      <c r="L13" s="48">
        <f t="shared" si="4"/>
        <v>168000</v>
      </c>
      <c r="M13" s="57">
        <f t="shared" si="5"/>
        <v>40000</v>
      </c>
      <c r="N13" s="58">
        <f t="shared" si="6"/>
        <v>208000</v>
      </c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5.75" customHeight="1">
      <c r="A14" s="50">
        <f t="shared" si="7"/>
        <v>8</v>
      </c>
      <c r="B14" s="51" t="s">
        <v>32</v>
      </c>
      <c r="C14" s="52" t="s">
        <v>25</v>
      </c>
      <c r="D14" s="53">
        <v>1.0</v>
      </c>
      <c r="E14" s="54">
        <v>100000.0</v>
      </c>
      <c r="F14" s="55">
        <v>0.0</v>
      </c>
      <c r="G14" s="55">
        <v>0.0</v>
      </c>
      <c r="H14" s="56">
        <f t="shared" si="1"/>
        <v>100000</v>
      </c>
      <c r="I14" s="55">
        <v>20000.0</v>
      </c>
      <c r="J14" s="46">
        <f t="shared" si="2"/>
        <v>0.2</v>
      </c>
      <c r="K14" s="57">
        <f t="shared" si="3"/>
        <v>80000</v>
      </c>
      <c r="L14" s="48">
        <f t="shared" si="4"/>
        <v>84000</v>
      </c>
      <c r="M14" s="57">
        <f t="shared" si="5"/>
        <v>20000</v>
      </c>
      <c r="N14" s="58">
        <f t="shared" si="6"/>
        <v>104000</v>
      </c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5.75" customHeight="1">
      <c r="A15" s="50">
        <f t="shared" si="7"/>
        <v>9</v>
      </c>
      <c r="B15" s="51" t="s">
        <v>33</v>
      </c>
      <c r="C15" s="52" t="s">
        <v>25</v>
      </c>
      <c r="D15" s="53">
        <v>1.0</v>
      </c>
      <c r="E15" s="54">
        <v>800000.0</v>
      </c>
      <c r="F15" s="55">
        <v>0.0</v>
      </c>
      <c r="G15" s="55">
        <v>0.0</v>
      </c>
      <c r="H15" s="56">
        <f t="shared" si="1"/>
        <v>800000</v>
      </c>
      <c r="I15" s="60"/>
      <c r="J15" s="46">
        <f t="shared" si="2"/>
        <v>0</v>
      </c>
      <c r="K15" s="57">
        <f t="shared" si="3"/>
        <v>800000</v>
      </c>
      <c r="L15" s="48">
        <f t="shared" si="4"/>
        <v>840000</v>
      </c>
      <c r="M15" s="57">
        <f t="shared" si="5"/>
        <v>0</v>
      </c>
      <c r="N15" s="58">
        <f t="shared" si="6"/>
        <v>840000</v>
      </c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50">
        <f t="shared" si="7"/>
        <v>10</v>
      </c>
      <c r="B16" s="51" t="s">
        <v>34</v>
      </c>
      <c r="C16" s="52" t="s">
        <v>25</v>
      </c>
      <c r="D16" s="53">
        <v>1.0</v>
      </c>
      <c r="E16" s="54">
        <v>80000.0</v>
      </c>
      <c r="F16" s="55">
        <v>0.0</v>
      </c>
      <c r="G16" s="55">
        <v>0.0</v>
      </c>
      <c r="H16" s="56">
        <f t="shared" si="1"/>
        <v>80000</v>
      </c>
      <c r="I16" s="55">
        <v>16000.0</v>
      </c>
      <c r="J16" s="46">
        <f t="shared" si="2"/>
        <v>0.2</v>
      </c>
      <c r="K16" s="57">
        <f t="shared" si="3"/>
        <v>64000</v>
      </c>
      <c r="L16" s="48">
        <f t="shared" si="4"/>
        <v>67200</v>
      </c>
      <c r="M16" s="57">
        <f t="shared" si="5"/>
        <v>16000</v>
      </c>
      <c r="N16" s="58">
        <f t="shared" si="6"/>
        <v>83200</v>
      </c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5.75" customHeight="1">
      <c r="A17" s="50">
        <f t="shared" si="7"/>
        <v>11</v>
      </c>
      <c r="B17" s="51" t="s">
        <v>35</v>
      </c>
      <c r="C17" s="52" t="s">
        <v>25</v>
      </c>
      <c r="D17" s="53">
        <v>1.0</v>
      </c>
      <c r="E17" s="54">
        <v>60000.0</v>
      </c>
      <c r="F17" s="55">
        <v>0.0</v>
      </c>
      <c r="G17" s="55">
        <v>0.0</v>
      </c>
      <c r="H17" s="56">
        <f t="shared" si="1"/>
        <v>60000</v>
      </c>
      <c r="I17" s="55">
        <v>12000.0</v>
      </c>
      <c r="J17" s="46">
        <f t="shared" si="2"/>
        <v>0.2</v>
      </c>
      <c r="K17" s="57">
        <f t="shared" si="3"/>
        <v>48000</v>
      </c>
      <c r="L17" s="48">
        <f t="shared" si="4"/>
        <v>50400</v>
      </c>
      <c r="M17" s="57">
        <f t="shared" si="5"/>
        <v>12000</v>
      </c>
      <c r="N17" s="58">
        <f t="shared" si="6"/>
        <v>62400</v>
      </c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50">
        <f t="shared" si="7"/>
        <v>12</v>
      </c>
      <c r="B18" s="51" t="s">
        <v>36</v>
      </c>
      <c r="C18" s="52" t="s">
        <v>25</v>
      </c>
      <c r="D18" s="53">
        <v>1.0</v>
      </c>
      <c r="E18" s="54">
        <v>50000.0</v>
      </c>
      <c r="F18" s="55">
        <v>0.0</v>
      </c>
      <c r="G18" s="55">
        <v>0.0</v>
      </c>
      <c r="H18" s="56">
        <f t="shared" si="1"/>
        <v>50000</v>
      </c>
      <c r="I18" s="55">
        <v>10000.0</v>
      </c>
      <c r="J18" s="46">
        <f t="shared" si="2"/>
        <v>0.2</v>
      </c>
      <c r="K18" s="57">
        <f t="shared" si="3"/>
        <v>40000</v>
      </c>
      <c r="L18" s="48">
        <f t="shared" si="4"/>
        <v>42000</v>
      </c>
      <c r="M18" s="57">
        <f t="shared" si="5"/>
        <v>10000</v>
      </c>
      <c r="N18" s="58">
        <f t="shared" si="6"/>
        <v>52000</v>
      </c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50">
        <f t="shared" si="7"/>
        <v>13</v>
      </c>
      <c r="B19" s="51" t="s">
        <v>37</v>
      </c>
      <c r="C19" s="52" t="s">
        <v>25</v>
      </c>
      <c r="D19" s="53">
        <v>1.0</v>
      </c>
      <c r="E19" s="54">
        <v>650000.0</v>
      </c>
      <c r="F19" s="55">
        <v>0.0</v>
      </c>
      <c r="G19" s="55">
        <v>0.0</v>
      </c>
      <c r="H19" s="56">
        <f t="shared" si="1"/>
        <v>650000</v>
      </c>
      <c r="I19" s="55">
        <v>130000.0</v>
      </c>
      <c r="J19" s="46">
        <f t="shared" si="2"/>
        <v>0.2</v>
      </c>
      <c r="K19" s="57">
        <f t="shared" si="3"/>
        <v>520000</v>
      </c>
      <c r="L19" s="48">
        <f t="shared" si="4"/>
        <v>546000</v>
      </c>
      <c r="M19" s="57">
        <f t="shared" si="5"/>
        <v>130000</v>
      </c>
      <c r="N19" s="58">
        <f t="shared" si="6"/>
        <v>676000</v>
      </c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50">
        <f t="shared" si="7"/>
        <v>14</v>
      </c>
      <c r="B20" s="51" t="s">
        <v>38</v>
      </c>
      <c r="C20" s="52" t="s">
        <v>25</v>
      </c>
      <c r="D20" s="53">
        <v>1.0</v>
      </c>
      <c r="E20" s="54">
        <v>200000.0</v>
      </c>
      <c r="F20" s="55">
        <v>0.0</v>
      </c>
      <c r="G20" s="55">
        <v>0.0</v>
      </c>
      <c r="H20" s="56">
        <f t="shared" si="1"/>
        <v>200000</v>
      </c>
      <c r="I20" s="55">
        <v>40000.0</v>
      </c>
      <c r="J20" s="46">
        <f t="shared" si="2"/>
        <v>0.2</v>
      </c>
      <c r="K20" s="57">
        <f t="shared" si="3"/>
        <v>160000</v>
      </c>
      <c r="L20" s="48">
        <f t="shared" si="4"/>
        <v>168000</v>
      </c>
      <c r="M20" s="57">
        <f t="shared" si="5"/>
        <v>40000</v>
      </c>
      <c r="N20" s="58">
        <f t="shared" si="6"/>
        <v>208000</v>
      </c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50">
        <f t="shared" si="7"/>
        <v>15</v>
      </c>
      <c r="B21" s="51" t="s">
        <v>39</v>
      </c>
      <c r="C21" s="52" t="s">
        <v>25</v>
      </c>
      <c r="D21" s="53">
        <v>1.0</v>
      </c>
      <c r="E21" s="54">
        <v>200000.0</v>
      </c>
      <c r="F21" s="55">
        <v>0.0</v>
      </c>
      <c r="G21" s="55">
        <v>0.0</v>
      </c>
      <c r="H21" s="56">
        <f t="shared" si="1"/>
        <v>200000</v>
      </c>
      <c r="I21" s="55">
        <v>40000.0</v>
      </c>
      <c r="J21" s="46">
        <f t="shared" si="2"/>
        <v>0.2</v>
      </c>
      <c r="K21" s="57">
        <f t="shared" si="3"/>
        <v>160000</v>
      </c>
      <c r="L21" s="48">
        <f t="shared" si="4"/>
        <v>168000</v>
      </c>
      <c r="M21" s="57">
        <f t="shared" si="5"/>
        <v>40000</v>
      </c>
      <c r="N21" s="58">
        <f t="shared" si="6"/>
        <v>208000</v>
      </c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50">
        <f t="shared" si="7"/>
        <v>16</v>
      </c>
      <c r="B22" s="51" t="s">
        <v>40</v>
      </c>
      <c r="C22" s="52" t="s">
        <v>25</v>
      </c>
      <c r="D22" s="53">
        <v>1.0</v>
      </c>
      <c r="E22" s="54">
        <v>90000.0</v>
      </c>
      <c r="F22" s="55">
        <v>0.0</v>
      </c>
      <c r="G22" s="55">
        <v>0.0</v>
      </c>
      <c r="H22" s="56">
        <f t="shared" si="1"/>
        <v>90000</v>
      </c>
      <c r="I22" s="55">
        <v>18000.0</v>
      </c>
      <c r="J22" s="46">
        <f t="shared" si="2"/>
        <v>0.2</v>
      </c>
      <c r="K22" s="57">
        <f t="shared" si="3"/>
        <v>72000</v>
      </c>
      <c r="L22" s="48">
        <f t="shared" si="4"/>
        <v>75600</v>
      </c>
      <c r="M22" s="57">
        <f t="shared" si="5"/>
        <v>18000</v>
      </c>
      <c r="N22" s="58">
        <f t="shared" si="6"/>
        <v>93600</v>
      </c>
      <c r="O22" s="8"/>
      <c r="P22" s="8"/>
      <c r="Q22" s="8"/>
      <c r="R22" s="8"/>
      <c r="S22" s="8"/>
      <c r="T22" s="8"/>
      <c r="U22" s="59"/>
      <c r="V22" s="59"/>
      <c r="W22" s="59"/>
      <c r="X22" s="59"/>
      <c r="Y22" s="8"/>
      <c r="Z22" s="8"/>
    </row>
    <row r="23">
      <c r="A23" s="50">
        <f t="shared" si="7"/>
        <v>17</v>
      </c>
      <c r="B23" s="51" t="s">
        <v>41</v>
      </c>
      <c r="C23" s="52" t="s">
        <v>25</v>
      </c>
      <c r="D23" s="53">
        <v>1.0</v>
      </c>
      <c r="E23" s="54">
        <v>100000.0</v>
      </c>
      <c r="F23" s="55">
        <v>0.0</v>
      </c>
      <c r="G23" s="55">
        <v>0.0</v>
      </c>
      <c r="H23" s="56">
        <f t="shared" si="1"/>
        <v>100000</v>
      </c>
      <c r="I23" s="55">
        <v>20000.0</v>
      </c>
      <c r="J23" s="46">
        <f t="shared" si="2"/>
        <v>0.2</v>
      </c>
      <c r="K23" s="57">
        <f t="shared" si="3"/>
        <v>80000</v>
      </c>
      <c r="L23" s="48">
        <f t="shared" si="4"/>
        <v>84000</v>
      </c>
      <c r="M23" s="57">
        <f t="shared" si="5"/>
        <v>20000</v>
      </c>
      <c r="N23" s="58">
        <f t="shared" si="6"/>
        <v>104000</v>
      </c>
      <c r="O23" s="8"/>
      <c r="P23" s="8"/>
      <c r="Q23" s="8"/>
      <c r="R23" s="8"/>
      <c r="S23" s="8"/>
      <c r="T23" s="8"/>
      <c r="U23" s="8"/>
      <c r="V23" s="59"/>
      <c r="W23" s="59"/>
      <c r="X23" s="59"/>
      <c r="Y23" s="8"/>
      <c r="Z23" s="8"/>
    </row>
    <row r="24">
      <c r="A24" s="50">
        <f t="shared" si="7"/>
        <v>18</v>
      </c>
      <c r="B24" s="51" t="s">
        <v>42</v>
      </c>
      <c r="C24" s="52" t="s">
        <v>25</v>
      </c>
      <c r="D24" s="53">
        <v>1.0</v>
      </c>
      <c r="E24" s="54">
        <v>140000.0</v>
      </c>
      <c r="F24" s="55">
        <v>0.0</v>
      </c>
      <c r="G24" s="55">
        <v>0.0</v>
      </c>
      <c r="H24" s="56">
        <f t="shared" si="1"/>
        <v>140000</v>
      </c>
      <c r="I24" s="55">
        <v>28000.0</v>
      </c>
      <c r="J24" s="46">
        <f t="shared" si="2"/>
        <v>0.2</v>
      </c>
      <c r="K24" s="57">
        <f t="shared" si="3"/>
        <v>112000</v>
      </c>
      <c r="L24" s="48">
        <f t="shared" si="4"/>
        <v>117600</v>
      </c>
      <c r="M24" s="57">
        <f t="shared" si="5"/>
        <v>28000</v>
      </c>
      <c r="N24" s="58">
        <f t="shared" si="6"/>
        <v>145600</v>
      </c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50">
        <f t="shared" si="7"/>
        <v>19</v>
      </c>
      <c r="B25" s="51" t="s">
        <v>43</v>
      </c>
      <c r="C25" s="52" t="s">
        <v>25</v>
      </c>
      <c r="D25" s="53">
        <v>1.0</v>
      </c>
      <c r="E25" s="54">
        <v>70000.0</v>
      </c>
      <c r="F25" s="55">
        <v>0.0</v>
      </c>
      <c r="G25" s="55">
        <v>0.0</v>
      </c>
      <c r="H25" s="56">
        <f t="shared" si="1"/>
        <v>70000</v>
      </c>
      <c r="I25" s="55">
        <v>14000.0</v>
      </c>
      <c r="J25" s="46">
        <f t="shared" si="2"/>
        <v>0.2</v>
      </c>
      <c r="K25" s="57">
        <f t="shared" si="3"/>
        <v>56000</v>
      </c>
      <c r="L25" s="48">
        <f t="shared" si="4"/>
        <v>58800</v>
      </c>
      <c r="M25" s="57">
        <f t="shared" si="5"/>
        <v>14000</v>
      </c>
      <c r="N25" s="58">
        <f t="shared" si="6"/>
        <v>72800</v>
      </c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50">
        <f t="shared" si="7"/>
        <v>20</v>
      </c>
      <c r="B26" s="51" t="s">
        <v>44</v>
      </c>
      <c r="C26" s="52" t="s">
        <v>25</v>
      </c>
      <c r="D26" s="53">
        <v>1.0</v>
      </c>
      <c r="E26" s="54">
        <v>335000.0</v>
      </c>
      <c r="F26" s="55">
        <v>0.0</v>
      </c>
      <c r="G26" s="55">
        <v>0.0</v>
      </c>
      <c r="H26" s="56">
        <f t="shared" si="1"/>
        <v>335000</v>
      </c>
      <c r="I26" s="55">
        <v>67000.0</v>
      </c>
      <c r="J26" s="46">
        <f t="shared" si="2"/>
        <v>0.2</v>
      </c>
      <c r="K26" s="57">
        <f t="shared" si="3"/>
        <v>268000</v>
      </c>
      <c r="L26" s="48">
        <f t="shared" si="4"/>
        <v>281400</v>
      </c>
      <c r="M26" s="57">
        <f t="shared" si="5"/>
        <v>67000</v>
      </c>
      <c r="N26" s="58">
        <f t="shared" si="6"/>
        <v>348400</v>
      </c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 outlineLevel="1">
      <c r="A27" s="50">
        <f t="shared" si="7"/>
        <v>21</v>
      </c>
      <c r="B27" s="51" t="s">
        <v>45</v>
      </c>
      <c r="C27" s="52" t="s">
        <v>25</v>
      </c>
      <c r="D27" s="53">
        <v>1.0</v>
      </c>
      <c r="E27" s="54">
        <v>725000.0</v>
      </c>
      <c r="F27" s="55">
        <v>0.0</v>
      </c>
      <c r="G27" s="55">
        <v>0.0</v>
      </c>
      <c r="H27" s="56">
        <f t="shared" si="1"/>
        <v>725000</v>
      </c>
      <c r="I27" s="55">
        <v>145000.0</v>
      </c>
      <c r="J27" s="46">
        <f t="shared" si="2"/>
        <v>0.2</v>
      </c>
      <c r="K27" s="57">
        <f t="shared" si="3"/>
        <v>580000</v>
      </c>
      <c r="L27" s="48">
        <f t="shared" si="4"/>
        <v>609000</v>
      </c>
      <c r="M27" s="57">
        <f t="shared" si="5"/>
        <v>145000</v>
      </c>
      <c r="N27" s="58">
        <f t="shared" si="6"/>
        <v>754000</v>
      </c>
      <c r="O27" s="8"/>
      <c r="P27" s="8"/>
      <c r="Q27" s="7"/>
      <c r="R27" s="7"/>
      <c r="S27" s="7"/>
      <c r="T27" s="8"/>
      <c r="U27" s="8"/>
      <c r="V27" s="8"/>
      <c r="W27" s="8"/>
      <c r="X27" s="8"/>
      <c r="Y27" s="8"/>
      <c r="Z27" s="8"/>
    </row>
    <row r="28" ht="15.75" customHeight="1" outlineLevel="1">
      <c r="A28" s="50">
        <f t="shared" si="7"/>
        <v>22</v>
      </c>
      <c r="B28" s="51" t="s">
        <v>46</v>
      </c>
      <c r="C28" s="52" t="s">
        <v>25</v>
      </c>
      <c r="D28" s="53">
        <v>1.0</v>
      </c>
      <c r="E28" s="54">
        <v>200000.0</v>
      </c>
      <c r="F28" s="55">
        <v>0.0</v>
      </c>
      <c r="G28" s="55">
        <v>0.0</v>
      </c>
      <c r="H28" s="56">
        <f t="shared" si="1"/>
        <v>200000</v>
      </c>
      <c r="I28" s="55">
        <v>40000.0</v>
      </c>
      <c r="J28" s="46">
        <f t="shared" si="2"/>
        <v>0.2</v>
      </c>
      <c r="K28" s="57">
        <f t="shared" si="3"/>
        <v>160000</v>
      </c>
      <c r="L28" s="48">
        <f t="shared" si="4"/>
        <v>168000</v>
      </c>
      <c r="M28" s="57">
        <f t="shared" si="5"/>
        <v>40000</v>
      </c>
      <c r="N28" s="58">
        <f t="shared" si="6"/>
        <v>208000</v>
      </c>
      <c r="O28" s="8"/>
      <c r="P28" s="8"/>
      <c r="Q28" s="7"/>
      <c r="R28" s="7"/>
      <c r="S28" s="7"/>
      <c r="T28" s="8"/>
      <c r="U28" s="8"/>
      <c r="V28" s="8"/>
      <c r="W28" s="8"/>
      <c r="X28" s="8"/>
      <c r="Y28" s="8"/>
      <c r="Z28" s="8"/>
    </row>
    <row r="29" ht="15.75" customHeight="1" outlineLevel="1">
      <c r="A29" s="50">
        <f t="shared" si="7"/>
        <v>23</v>
      </c>
      <c r="B29" s="51" t="s">
        <v>47</v>
      </c>
      <c r="C29" s="52" t="s">
        <v>25</v>
      </c>
      <c r="D29" s="53">
        <v>1.0</v>
      </c>
      <c r="E29" s="54">
        <v>25000.0</v>
      </c>
      <c r="F29" s="55">
        <v>0.0</v>
      </c>
      <c r="G29" s="55">
        <v>0.0</v>
      </c>
      <c r="H29" s="56">
        <f t="shared" si="1"/>
        <v>25000</v>
      </c>
      <c r="I29" s="55">
        <v>5000.0</v>
      </c>
      <c r="J29" s="46">
        <f t="shared" si="2"/>
        <v>0.2</v>
      </c>
      <c r="K29" s="57">
        <f t="shared" si="3"/>
        <v>20000</v>
      </c>
      <c r="L29" s="48">
        <f t="shared" si="4"/>
        <v>21000</v>
      </c>
      <c r="M29" s="57">
        <f t="shared" si="5"/>
        <v>5000</v>
      </c>
      <c r="N29" s="58">
        <f t="shared" si="6"/>
        <v>26000</v>
      </c>
      <c r="O29" s="8"/>
      <c r="P29" s="8"/>
      <c r="Q29" s="7"/>
      <c r="R29" s="7"/>
      <c r="S29" s="7"/>
      <c r="T29" s="8"/>
      <c r="U29" s="8"/>
      <c r="V29" s="8"/>
      <c r="W29" s="8"/>
      <c r="X29" s="8"/>
      <c r="Y29" s="8"/>
      <c r="Z29" s="8"/>
    </row>
    <row r="30" ht="15.75" customHeight="1" outlineLevel="1">
      <c r="A30" s="50">
        <f t="shared" si="7"/>
        <v>24</v>
      </c>
      <c r="B30" s="51" t="s">
        <v>48</v>
      </c>
      <c r="C30" s="52" t="s">
        <v>25</v>
      </c>
      <c r="D30" s="53">
        <v>1.0</v>
      </c>
      <c r="E30" s="54">
        <v>75000.0</v>
      </c>
      <c r="F30" s="55">
        <v>0.0</v>
      </c>
      <c r="G30" s="55">
        <v>0.0</v>
      </c>
      <c r="H30" s="56">
        <f t="shared" si="1"/>
        <v>75000</v>
      </c>
      <c r="I30" s="55">
        <v>15000.0</v>
      </c>
      <c r="J30" s="46">
        <f t="shared" si="2"/>
        <v>0.2</v>
      </c>
      <c r="K30" s="57">
        <f t="shared" si="3"/>
        <v>60000</v>
      </c>
      <c r="L30" s="48">
        <f t="shared" si="4"/>
        <v>63000</v>
      </c>
      <c r="M30" s="57">
        <f t="shared" si="5"/>
        <v>15000</v>
      </c>
      <c r="N30" s="58">
        <f t="shared" si="6"/>
        <v>78000</v>
      </c>
      <c r="O30" s="8"/>
      <c r="P30" s="8"/>
      <c r="Q30" s="7"/>
      <c r="R30" s="7"/>
      <c r="S30" s="7"/>
      <c r="T30" s="8"/>
      <c r="U30" s="8"/>
      <c r="V30" s="8"/>
      <c r="W30" s="8"/>
      <c r="X30" s="8"/>
      <c r="Y30" s="8"/>
      <c r="Z30" s="8"/>
    </row>
    <row r="31" ht="15.75" customHeight="1" outlineLevel="1">
      <c r="A31" s="50">
        <f t="shared" si="7"/>
        <v>25</v>
      </c>
      <c r="B31" s="51" t="s">
        <v>49</v>
      </c>
      <c r="C31" s="52" t="s">
        <v>25</v>
      </c>
      <c r="D31" s="53">
        <v>1.0</v>
      </c>
      <c r="E31" s="54">
        <v>50000.0</v>
      </c>
      <c r="F31" s="55">
        <v>0.0</v>
      </c>
      <c r="G31" s="55">
        <v>0.0</v>
      </c>
      <c r="H31" s="56">
        <f t="shared" si="1"/>
        <v>50000</v>
      </c>
      <c r="I31" s="55">
        <v>10000.0</v>
      </c>
      <c r="J31" s="46">
        <f t="shared" si="2"/>
        <v>0.2</v>
      </c>
      <c r="K31" s="57">
        <f t="shared" si="3"/>
        <v>40000</v>
      </c>
      <c r="L31" s="48">
        <f t="shared" si="4"/>
        <v>42000</v>
      </c>
      <c r="M31" s="57">
        <f t="shared" si="5"/>
        <v>10000</v>
      </c>
      <c r="N31" s="58">
        <f t="shared" si="6"/>
        <v>52000</v>
      </c>
      <c r="O31" s="8"/>
      <c r="P31" s="8"/>
      <c r="Q31" s="7"/>
      <c r="R31" s="7"/>
      <c r="S31" s="7"/>
      <c r="T31" s="8"/>
      <c r="U31" s="8"/>
      <c r="V31" s="8"/>
      <c r="W31" s="8"/>
      <c r="X31" s="8"/>
      <c r="Y31" s="8"/>
      <c r="Z31" s="8"/>
    </row>
    <row r="32" ht="15.75" customHeight="1" outlineLevel="1">
      <c r="A32" s="50">
        <f t="shared" si="7"/>
        <v>26</v>
      </c>
      <c r="B32" s="51" t="s">
        <v>50</v>
      </c>
      <c r="C32" s="52" t="s">
        <v>25</v>
      </c>
      <c r="D32" s="53">
        <v>1.0</v>
      </c>
      <c r="E32" s="54">
        <v>60000.0</v>
      </c>
      <c r="F32" s="55">
        <v>0.0</v>
      </c>
      <c r="G32" s="55">
        <v>0.0</v>
      </c>
      <c r="H32" s="56">
        <f t="shared" si="1"/>
        <v>60000</v>
      </c>
      <c r="I32" s="55">
        <v>12000.0</v>
      </c>
      <c r="J32" s="46">
        <f t="shared" si="2"/>
        <v>0.2</v>
      </c>
      <c r="K32" s="57">
        <f t="shared" si="3"/>
        <v>48000</v>
      </c>
      <c r="L32" s="48">
        <f t="shared" si="4"/>
        <v>50400</v>
      </c>
      <c r="M32" s="57">
        <f t="shared" si="5"/>
        <v>12000</v>
      </c>
      <c r="N32" s="58">
        <f t="shared" si="6"/>
        <v>62400</v>
      </c>
      <c r="O32" s="8"/>
      <c r="P32" s="8"/>
      <c r="Q32" s="7"/>
      <c r="R32" s="7"/>
      <c r="S32" s="7"/>
      <c r="T32" s="8"/>
      <c r="U32" s="8"/>
      <c r="V32" s="8"/>
      <c r="W32" s="8"/>
      <c r="X32" s="8"/>
      <c r="Y32" s="8"/>
      <c r="Z32" s="8"/>
    </row>
    <row r="33" ht="15.75" customHeight="1" outlineLevel="1">
      <c r="A33" s="61">
        <v>27.0</v>
      </c>
      <c r="B33" s="51" t="s">
        <v>51</v>
      </c>
      <c r="C33" s="52" t="s">
        <v>25</v>
      </c>
      <c r="D33" s="53">
        <v>1.0</v>
      </c>
      <c r="E33" s="54">
        <v>75000.0</v>
      </c>
      <c r="F33" s="55">
        <v>0.0</v>
      </c>
      <c r="G33" s="55">
        <v>0.0</v>
      </c>
      <c r="H33" s="56">
        <f t="shared" si="1"/>
        <v>75000</v>
      </c>
      <c r="I33" s="55">
        <v>15000.0</v>
      </c>
      <c r="J33" s="46">
        <f t="shared" si="2"/>
        <v>0.2</v>
      </c>
      <c r="K33" s="57">
        <f t="shared" si="3"/>
        <v>60000</v>
      </c>
      <c r="L33" s="48">
        <f t="shared" si="4"/>
        <v>63000</v>
      </c>
      <c r="M33" s="57">
        <f t="shared" si="5"/>
        <v>15000</v>
      </c>
      <c r="N33" s="58">
        <f t="shared" si="6"/>
        <v>78000</v>
      </c>
      <c r="O33" s="8"/>
      <c r="P33" s="8"/>
      <c r="Q33" s="7"/>
      <c r="R33" s="7"/>
      <c r="S33" s="7"/>
      <c r="T33" s="8"/>
      <c r="U33" s="8"/>
      <c r="V33" s="8"/>
      <c r="W33" s="8"/>
      <c r="X33" s="8"/>
      <c r="Y33" s="8"/>
      <c r="Z33" s="8"/>
    </row>
    <row r="34" ht="15.75" customHeight="1" outlineLevel="1">
      <c r="A34" s="61">
        <v>28.0</v>
      </c>
      <c r="B34" s="51" t="s">
        <v>52</v>
      </c>
      <c r="C34" s="52" t="s">
        <v>25</v>
      </c>
      <c r="D34" s="53">
        <v>1.0</v>
      </c>
      <c r="E34" s="54">
        <v>30000.0</v>
      </c>
      <c r="F34" s="55">
        <v>0.0</v>
      </c>
      <c r="G34" s="55">
        <v>0.0</v>
      </c>
      <c r="H34" s="56">
        <f t="shared" si="1"/>
        <v>30000</v>
      </c>
      <c r="I34" s="55">
        <v>6000.0</v>
      </c>
      <c r="J34" s="46">
        <f t="shared" si="2"/>
        <v>0.2</v>
      </c>
      <c r="K34" s="57">
        <f t="shared" si="3"/>
        <v>24000</v>
      </c>
      <c r="L34" s="48">
        <f t="shared" si="4"/>
        <v>25200</v>
      </c>
      <c r="M34" s="57">
        <f t="shared" si="5"/>
        <v>6000</v>
      </c>
      <c r="N34" s="58">
        <f t="shared" si="6"/>
        <v>31200</v>
      </c>
      <c r="O34" s="8"/>
      <c r="P34" s="8"/>
      <c r="Q34" s="7"/>
      <c r="R34" s="7"/>
      <c r="S34" s="7"/>
      <c r="T34" s="8"/>
      <c r="U34" s="8"/>
      <c r="V34" s="8"/>
      <c r="W34" s="8"/>
      <c r="X34" s="8"/>
      <c r="Y34" s="8"/>
      <c r="Z34" s="8"/>
    </row>
    <row r="35" ht="15.75" customHeight="1" outlineLevel="1">
      <c r="A35" s="61">
        <v>29.0</v>
      </c>
      <c r="B35" s="51" t="s">
        <v>53</v>
      </c>
      <c r="C35" s="52" t="s">
        <v>25</v>
      </c>
      <c r="D35" s="53">
        <v>1.0</v>
      </c>
      <c r="E35" s="54">
        <v>40000.0</v>
      </c>
      <c r="F35" s="55">
        <v>0.0</v>
      </c>
      <c r="G35" s="55">
        <v>0.0</v>
      </c>
      <c r="H35" s="56">
        <f t="shared" si="1"/>
        <v>40000</v>
      </c>
      <c r="I35" s="55">
        <v>8000.0</v>
      </c>
      <c r="J35" s="46">
        <f t="shared" si="2"/>
        <v>0.2</v>
      </c>
      <c r="K35" s="57">
        <f t="shared" si="3"/>
        <v>32000</v>
      </c>
      <c r="L35" s="48">
        <f t="shared" si="4"/>
        <v>33600</v>
      </c>
      <c r="M35" s="57">
        <f t="shared" si="5"/>
        <v>8000</v>
      </c>
      <c r="N35" s="58">
        <f t="shared" si="6"/>
        <v>41600</v>
      </c>
      <c r="O35" s="8"/>
      <c r="P35" s="8"/>
      <c r="Q35" s="7"/>
      <c r="R35" s="7"/>
      <c r="S35" s="7"/>
      <c r="T35" s="8"/>
      <c r="U35" s="8"/>
      <c r="V35" s="8"/>
      <c r="W35" s="8"/>
      <c r="X35" s="8"/>
      <c r="Y35" s="8"/>
      <c r="Z35" s="8"/>
    </row>
    <row r="36" ht="15.75" customHeight="1" outlineLevel="1">
      <c r="A36" s="61">
        <v>30.0</v>
      </c>
      <c r="B36" s="51" t="s">
        <v>54</v>
      </c>
      <c r="C36" s="52" t="s">
        <v>25</v>
      </c>
      <c r="D36" s="53">
        <v>1.0</v>
      </c>
      <c r="E36" s="54">
        <v>180000.0</v>
      </c>
      <c r="F36" s="55">
        <v>0.0</v>
      </c>
      <c r="G36" s="55">
        <v>0.0</v>
      </c>
      <c r="H36" s="56">
        <f t="shared" si="1"/>
        <v>180000</v>
      </c>
      <c r="I36" s="55">
        <v>36000.0</v>
      </c>
      <c r="J36" s="46">
        <f t="shared" si="2"/>
        <v>0.2</v>
      </c>
      <c r="K36" s="57">
        <f t="shared" si="3"/>
        <v>144000</v>
      </c>
      <c r="L36" s="48">
        <f t="shared" si="4"/>
        <v>151200</v>
      </c>
      <c r="M36" s="57">
        <f t="shared" si="5"/>
        <v>36000</v>
      </c>
      <c r="N36" s="58">
        <f t="shared" si="6"/>
        <v>187200</v>
      </c>
      <c r="O36" s="8"/>
      <c r="P36" s="8"/>
      <c r="Q36" s="7"/>
      <c r="R36" s="7"/>
      <c r="S36" s="7"/>
      <c r="T36" s="8"/>
      <c r="U36" s="8"/>
      <c r="V36" s="8"/>
      <c r="W36" s="8"/>
      <c r="X36" s="8"/>
      <c r="Y36" s="8"/>
      <c r="Z36" s="8"/>
    </row>
    <row r="37" ht="15.75" customHeight="1" outlineLevel="1">
      <c r="A37" s="61">
        <v>31.0</v>
      </c>
      <c r="B37" s="51" t="s">
        <v>55</v>
      </c>
      <c r="C37" s="52" t="s">
        <v>25</v>
      </c>
      <c r="D37" s="53">
        <v>1.0</v>
      </c>
      <c r="E37" s="54">
        <v>120000.0</v>
      </c>
      <c r="F37" s="55">
        <v>0.0</v>
      </c>
      <c r="G37" s="55">
        <v>0.0</v>
      </c>
      <c r="H37" s="56">
        <f t="shared" si="1"/>
        <v>120000</v>
      </c>
      <c r="I37" s="55">
        <v>24000.0</v>
      </c>
      <c r="J37" s="46">
        <f t="shared" si="2"/>
        <v>0.2</v>
      </c>
      <c r="K37" s="57">
        <f t="shared" si="3"/>
        <v>96000</v>
      </c>
      <c r="L37" s="48">
        <f t="shared" si="4"/>
        <v>100800</v>
      </c>
      <c r="M37" s="57">
        <f t="shared" si="5"/>
        <v>24000</v>
      </c>
      <c r="N37" s="58">
        <f t="shared" si="6"/>
        <v>124800</v>
      </c>
      <c r="O37" s="8"/>
      <c r="P37" s="8"/>
      <c r="Q37" s="7"/>
      <c r="R37" s="7"/>
      <c r="S37" s="7"/>
      <c r="T37" s="8"/>
      <c r="U37" s="8"/>
      <c r="V37" s="8"/>
      <c r="W37" s="8"/>
      <c r="X37" s="8"/>
      <c r="Y37" s="8"/>
      <c r="Z37" s="8"/>
    </row>
    <row r="38" ht="15.75" customHeight="1" outlineLevel="1">
      <c r="A38" s="61">
        <v>32.0</v>
      </c>
      <c r="B38" s="51" t="s">
        <v>56</v>
      </c>
      <c r="C38" s="52" t="s">
        <v>25</v>
      </c>
      <c r="D38" s="53">
        <v>1.0</v>
      </c>
      <c r="E38" s="54">
        <v>550000.0</v>
      </c>
      <c r="F38" s="55">
        <v>0.0</v>
      </c>
      <c r="G38" s="55">
        <v>0.0</v>
      </c>
      <c r="H38" s="56">
        <f t="shared" si="1"/>
        <v>550000</v>
      </c>
      <c r="I38" s="55">
        <v>110000.0</v>
      </c>
      <c r="J38" s="46">
        <f t="shared" si="2"/>
        <v>0.2</v>
      </c>
      <c r="K38" s="57">
        <f t="shared" si="3"/>
        <v>440000</v>
      </c>
      <c r="L38" s="48">
        <f t="shared" si="4"/>
        <v>462000</v>
      </c>
      <c r="M38" s="57">
        <f t="shared" si="5"/>
        <v>110000</v>
      </c>
      <c r="N38" s="58">
        <f t="shared" si="6"/>
        <v>572000</v>
      </c>
      <c r="O38" s="8"/>
      <c r="P38" s="8"/>
      <c r="Q38" s="7"/>
      <c r="R38" s="7"/>
      <c r="S38" s="7"/>
      <c r="T38" s="8"/>
      <c r="U38" s="8"/>
      <c r="V38" s="8"/>
      <c r="W38" s="8"/>
      <c r="X38" s="8"/>
      <c r="Y38" s="8"/>
      <c r="Z38" s="8"/>
    </row>
    <row r="39" ht="15.75" customHeight="1" outlineLevel="1">
      <c r="A39" s="61">
        <v>33.0</v>
      </c>
      <c r="B39" s="51" t="s">
        <v>57</v>
      </c>
      <c r="C39" s="52" t="s">
        <v>25</v>
      </c>
      <c r="D39" s="53">
        <v>1.0</v>
      </c>
      <c r="E39" s="54">
        <v>160000.0</v>
      </c>
      <c r="F39" s="55">
        <v>0.0</v>
      </c>
      <c r="G39" s="55">
        <v>0.0</v>
      </c>
      <c r="H39" s="56">
        <f t="shared" si="1"/>
        <v>160000</v>
      </c>
      <c r="I39" s="55">
        <v>32000.0</v>
      </c>
      <c r="J39" s="46">
        <f t="shared" si="2"/>
        <v>0.2</v>
      </c>
      <c r="K39" s="57">
        <f t="shared" si="3"/>
        <v>128000</v>
      </c>
      <c r="L39" s="48">
        <f t="shared" si="4"/>
        <v>134400</v>
      </c>
      <c r="M39" s="57">
        <f t="shared" si="5"/>
        <v>32000</v>
      </c>
      <c r="N39" s="58">
        <f t="shared" si="6"/>
        <v>166400</v>
      </c>
      <c r="O39" s="8"/>
      <c r="P39" s="8"/>
      <c r="Q39" s="7"/>
      <c r="R39" s="7"/>
      <c r="S39" s="7"/>
      <c r="T39" s="8"/>
      <c r="U39" s="8"/>
      <c r="V39" s="8"/>
      <c r="W39" s="8"/>
      <c r="X39" s="8"/>
      <c r="Y39" s="8"/>
      <c r="Z39" s="8"/>
    </row>
    <row r="40" ht="15.75" customHeight="1" outlineLevel="1">
      <c r="A40" s="61">
        <v>34.0</v>
      </c>
      <c r="B40" s="51" t="s">
        <v>58</v>
      </c>
      <c r="C40" s="52" t="s">
        <v>25</v>
      </c>
      <c r="D40" s="53">
        <v>1.0</v>
      </c>
      <c r="E40" s="54">
        <v>120000.0</v>
      </c>
      <c r="F40" s="55">
        <v>0.0</v>
      </c>
      <c r="G40" s="55">
        <v>0.0</v>
      </c>
      <c r="H40" s="56">
        <f t="shared" si="1"/>
        <v>120000</v>
      </c>
      <c r="I40" s="55">
        <v>24000.0</v>
      </c>
      <c r="J40" s="46">
        <f t="shared" si="2"/>
        <v>0.2</v>
      </c>
      <c r="K40" s="57">
        <f t="shared" si="3"/>
        <v>96000</v>
      </c>
      <c r="L40" s="48">
        <f t="shared" si="4"/>
        <v>100800</v>
      </c>
      <c r="M40" s="57">
        <f t="shared" si="5"/>
        <v>24000</v>
      </c>
      <c r="N40" s="58">
        <f t="shared" si="6"/>
        <v>124800</v>
      </c>
      <c r="O40" s="8"/>
      <c r="P40" s="8"/>
      <c r="Q40" s="7"/>
      <c r="R40" s="7"/>
      <c r="S40" s="7"/>
      <c r="T40" s="8"/>
      <c r="U40" s="8"/>
      <c r="V40" s="8"/>
      <c r="W40" s="8"/>
      <c r="X40" s="8"/>
      <c r="Y40" s="8"/>
      <c r="Z40" s="8"/>
    </row>
    <row r="41" ht="15.75" customHeight="1" outlineLevel="1">
      <c r="A41" s="61">
        <v>35.0</v>
      </c>
      <c r="B41" s="51" t="s">
        <v>59</v>
      </c>
      <c r="C41" s="52" t="s">
        <v>25</v>
      </c>
      <c r="D41" s="53">
        <v>1.0</v>
      </c>
      <c r="E41" s="54">
        <v>101000.0</v>
      </c>
      <c r="F41" s="55">
        <v>0.0</v>
      </c>
      <c r="G41" s="55">
        <v>0.0</v>
      </c>
      <c r="H41" s="56">
        <f t="shared" si="1"/>
        <v>101000</v>
      </c>
      <c r="I41" s="55">
        <v>20200.0</v>
      </c>
      <c r="J41" s="46">
        <f t="shared" si="2"/>
        <v>0.2</v>
      </c>
      <c r="K41" s="57">
        <f t="shared" si="3"/>
        <v>80800</v>
      </c>
      <c r="L41" s="48">
        <f t="shared" si="4"/>
        <v>84840</v>
      </c>
      <c r="M41" s="57">
        <f t="shared" si="5"/>
        <v>20200</v>
      </c>
      <c r="N41" s="58">
        <f t="shared" si="6"/>
        <v>105040</v>
      </c>
      <c r="O41" s="8"/>
      <c r="P41" s="8"/>
      <c r="Q41" s="7"/>
      <c r="R41" s="7"/>
      <c r="S41" s="7"/>
      <c r="T41" s="8"/>
      <c r="U41" s="8"/>
      <c r="V41" s="8"/>
      <c r="W41" s="8"/>
      <c r="X41" s="8"/>
      <c r="Y41" s="8"/>
      <c r="Z41" s="8"/>
    </row>
    <row r="42" ht="15.75" customHeight="1" outlineLevel="1">
      <c r="A42" s="61">
        <v>36.0</v>
      </c>
      <c r="B42" s="51" t="s">
        <v>60</v>
      </c>
      <c r="C42" s="52" t="s">
        <v>25</v>
      </c>
      <c r="D42" s="53">
        <v>1.0</v>
      </c>
      <c r="E42" s="54">
        <v>100000.0</v>
      </c>
      <c r="F42" s="55">
        <v>0.0</v>
      </c>
      <c r="G42" s="55">
        <v>0.0</v>
      </c>
      <c r="H42" s="56">
        <f t="shared" si="1"/>
        <v>100000</v>
      </c>
      <c r="I42" s="55">
        <v>20000.0</v>
      </c>
      <c r="J42" s="46">
        <f t="shared" si="2"/>
        <v>0.2</v>
      </c>
      <c r="K42" s="57">
        <f t="shared" si="3"/>
        <v>80000</v>
      </c>
      <c r="L42" s="48">
        <f t="shared" si="4"/>
        <v>84000</v>
      </c>
      <c r="M42" s="57">
        <f t="shared" si="5"/>
        <v>20000</v>
      </c>
      <c r="N42" s="58">
        <f t="shared" si="6"/>
        <v>104000</v>
      </c>
      <c r="O42" s="8"/>
      <c r="P42" s="8"/>
      <c r="Q42" s="7"/>
      <c r="R42" s="7"/>
      <c r="S42" s="7"/>
      <c r="T42" s="8"/>
      <c r="U42" s="8"/>
      <c r="V42" s="8"/>
      <c r="W42" s="8"/>
      <c r="X42" s="8"/>
      <c r="Y42" s="8"/>
      <c r="Z42" s="8"/>
    </row>
    <row r="43" ht="15.75" customHeight="1" outlineLevel="1">
      <c r="A43" s="61">
        <v>37.0</v>
      </c>
      <c r="B43" s="51" t="s">
        <v>61</v>
      </c>
      <c r="C43" s="52" t="s">
        <v>25</v>
      </c>
      <c r="D43" s="53">
        <v>1.0</v>
      </c>
      <c r="E43" s="54">
        <v>100000.0</v>
      </c>
      <c r="F43" s="55">
        <v>0.0</v>
      </c>
      <c r="G43" s="55">
        <v>0.0</v>
      </c>
      <c r="H43" s="56">
        <f t="shared" si="1"/>
        <v>100000</v>
      </c>
      <c r="I43" s="55">
        <v>20000.0</v>
      </c>
      <c r="J43" s="46">
        <f t="shared" si="2"/>
        <v>0.2</v>
      </c>
      <c r="K43" s="57">
        <f t="shared" si="3"/>
        <v>80000</v>
      </c>
      <c r="L43" s="48">
        <f t="shared" si="4"/>
        <v>84000</v>
      </c>
      <c r="M43" s="57">
        <f t="shared" si="5"/>
        <v>20000</v>
      </c>
      <c r="N43" s="58">
        <f t="shared" si="6"/>
        <v>104000</v>
      </c>
      <c r="O43" s="8"/>
      <c r="P43" s="8"/>
      <c r="Q43" s="7"/>
      <c r="R43" s="7"/>
      <c r="S43" s="7"/>
      <c r="T43" s="8"/>
      <c r="U43" s="8"/>
      <c r="V43" s="8"/>
      <c r="W43" s="8"/>
      <c r="X43" s="8"/>
      <c r="Y43" s="8"/>
      <c r="Z43" s="8"/>
    </row>
    <row r="44" ht="15.75" customHeight="1" outlineLevel="1">
      <c r="A44" s="61">
        <v>38.0</v>
      </c>
      <c r="B44" s="51" t="s">
        <v>62</v>
      </c>
      <c r="C44" s="52" t="s">
        <v>25</v>
      </c>
      <c r="D44" s="53">
        <v>1.0</v>
      </c>
      <c r="E44" s="54">
        <v>75000.0</v>
      </c>
      <c r="F44" s="55">
        <v>0.0</v>
      </c>
      <c r="G44" s="55">
        <v>0.0</v>
      </c>
      <c r="H44" s="56">
        <f t="shared" si="1"/>
        <v>75000</v>
      </c>
      <c r="I44" s="55">
        <v>15000.0</v>
      </c>
      <c r="J44" s="46">
        <f t="shared" si="2"/>
        <v>0.2</v>
      </c>
      <c r="K44" s="57">
        <f t="shared" si="3"/>
        <v>60000</v>
      </c>
      <c r="L44" s="48">
        <f t="shared" si="4"/>
        <v>63000</v>
      </c>
      <c r="M44" s="57">
        <f t="shared" si="5"/>
        <v>15000</v>
      </c>
      <c r="N44" s="58">
        <f t="shared" si="6"/>
        <v>78000</v>
      </c>
      <c r="O44" s="8"/>
      <c r="P44" s="8"/>
      <c r="Q44" s="7"/>
      <c r="R44" s="7"/>
      <c r="S44" s="7"/>
      <c r="T44" s="8"/>
      <c r="U44" s="8"/>
      <c r="V44" s="8"/>
      <c r="W44" s="8"/>
      <c r="X44" s="8"/>
      <c r="Y44" s="8"/>
      <c r="Z44" s="8"/>
    </row>
    <row r="45" ht="15.75" customHeight="1" outlineLevel="1">
      <c r="A45" s="61">
        <v>39.0</v>
      </c>
      <c r="B45" s="51" t="s">
        <v>63</v>
      </c>
      <c r="C45" s="52" t="s">
        <v>25</v>
      </c>
      <c r="D45" s="53">
        <v>1.0</v>
      </c>
      <c r="E45" s="54">
        <v>3327911.0</v>
      </c>
      <c r="F45" s="55" t="s">
        <v>64</v>
      </c>
      <c r="G45" s="55" t="s">
        <v>64</v>
      </c>
      <c r="H45" s="62">
        <v>3327911.0</v>
      </c>
      <c r="I45" s="60"/>
      <c r="J45" s="63">
        <v>0.0</v>
      </c>
      <c r="K45" s="57">
        <f t="shared" si="3"/>
        <v>3327911</v>
      </c>
      <c r="L45" s="48">
        <f t="shared" si="4"/>
        <v>3494306.55</v>
      </c>
      <c r="M45" s="57">
        <f t="shared" si="5"/>
        <v>0</v>
      </c>
      <c r="N45" s="58">
        <f t="shared" si="6"/>
        <v>3494306.55</v>
      </c>
      <c r="O45" s="8"/>
      <c r="P45" s="8"/>
      <c r="Q45" s="7"/>
      <c r="R45" s="7"/>
      <c r="S45" s="7"/>
      <c r="T45" s="8"/>
      <c r="U45" s="8"/>
      <c r="V45" s="8"/>
      <c r="W45" s="8"/>
      <c r="X45" s="8"/>
      <c r="Y45" s="8"/>
      <c r="Z45" s="8"/>
    </row>
    <row r="46" ht="15.75" customHeight="1" outlineLevel="1">
      <c r="A46" s="50">
        <f>1+A45</f>
        <v>40</v>
      </c>
      <c r="B46" s="64"/>
      <c r="C46" s="65"/>
      <c r="D46" s="66"/>
      <c r="E46" s="67"/>
      <c r="F46" s="60"/>
      <c r="G46" s="60"/>
      <c r="H46" s="56">
        <f>E46-F46-G46</f>
        <v>0</v>
      </c>
      <c r="I46" s="60"/>
      <c r="J46" s="46" t="str">
        <f t="shared" ref="J46:J47" si="9">I46/H46</f>
        <v>#DIV/0!</v>
      </c>
      <c r="K46" s="57">
        <f t="shared" si="3"/>
        <v>0</v>
      </c>
      <c r="L46" s="48">
        <f t="shared" si="4"/>
        <v>0</v>
      </c>
      <c r="M46" s="57">
        <f t="shared" si="5"/>
        <v>0</v>
      </c>
      <c r="N46" s="58">
        <f t="shared" si="6"/>
        <v>0</v>
      </c>
      <c r="O46" s="8"/>
      <c r="P46" s="8"/>
      <c r="Q46" s="7"/>
      <c r="R46" s="7"/>
      <c r="S46" s="7"/>
      <c r="T46" s="8"/>
      <c r="U46" s="8"/>
      <c r="V46" s="8"/>
      <c r="W46" s="8"/>
      <c r="X46" s="8"/>
      <c r="Y46" s="8"/>
      <c r="Z46" s="8"/>
    </row>
    <row r="47" ht="15.75" customHeight="1">
      <c r="A47" s="68"/>
      <c r="B47" s="69"/>
      <c r="C47" s="70"/>
      <c r="D47" s="71" t="s">
        <v>65</v>
      </c>
      <c r="E47" s="72">
        <f t="shared" ref="E47:I47" si="8">SUM(E7:E46)</f>
        <v>10188911</v>
      </c>
      <c r="F47" s="73">
        <f t="shared" si="8"/>
        <v>0</v>
      </c>
      <c r="G47" s="73">
        <f t="shared" si="8"/>
        <v>0</v>
      </c>
      <c r="H47" s="73">
        <f t="shared" si="8"/>
        <v>10188911</v>
      </c>
      <c r="I47" s="73">
        <f t="shared" si="8"/>
        <v>1212200</v>
      </c>
      <c r="J47" s="74">
        <f t="shared" si="9"/>
        <v>0.118972479</v>
      </c>
      <c r="K47" s="75">
        <f t="shared" ref="K47:N47" si="10">SUM(K7:K46)</f>
        <v>8976711</v>
      </c>
      <c r="L47" s="72">
        <f t="shared" si="10"/>
        <v>9425546.55</v>
      </c>
      <c r="M47" s="75">
        <f t="shared" si="10"/>
        <v>1212200</v>
      </c>
      <c r="N47" s="76">
        <f t="shared" si="10"/>
        <v>10637746.55</v>
      </c>
      <c r="O47" s="77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78"/>
      <c r="B48" s="79"/>
      <c r="C48" s="80"/>
      <c r="D48" s="80"/>
      <c r="E48" s="80"/>
      <c r="F48" s="80"/>
      <c r="G48" s="80"/>
      <c r="H48" s="80"/>
      <c r="I48" s="80"/>
      <c r="J48" s="81"/>
      <c r="K48" s="80"/>
      <c r="L48" s="80"/>
      <c r="M48" s="80"/>
      <c r="N48" s="80"/>
      <c r="O48" s="77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78"/>
      <c r="B49" s="82" t="s">
        <v>66</v>
      </c>
      <c r="C49" s="83">
        <f>N47*0.13</f>
        <v>1382907.052</v>
      </c>
      <c r="D49" s="80"/>
      <c r="E49" s="80"/>
      <c r="F49" s="80"/>
      <c r="G49" s="80"/>
      <c r="H49" s="80"/>
      <c r="I49" s="80"/>
      <c r="J49" s="81"/>
      <c r="K49" s="80"/>
      <c r="L49" s="80"/>
      <c r="M49" s="80"/>
      <c r="N49" s="80"/>
      <c r="O49" s="77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78"/>
      <c r="B50" s="79"/>
      <c r="C50" s="80"/>
      <c r="D50" s="80"/>
      <c r="E50" s="80"/>
      <c r="F50" s="80"/>
      <c r="G50" s="80"/>
      <c r="H50" s="80"/>
      <c r="I50" s="80"/>
      <c r="J50" s="81"/>
      <c r="K50" s="80"/>
      <c r="L50" s="80"/>
      <c r="M50" s="80"/>
      <c r="N50" s="80"/>
      <c r="O50" s="77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8.75" customHeight="1">
      <c r="A51" s="84"/>
      <c r="B51" s="85" t="s">
        <v>67</v>
      </c>
      <c r="C51" s="86"/>
      <c r="D51" s="87"/>
      <c r="E51" s="8"/>
      <c r="F51" s="8"/>
      <c r="G51" s="8"/>
      <c r="H51" s="8"/>
      <c r="I51" s="88" t="s">
        <v>68</v>
      </c>
      <c r="J51" s="86"/>
      <c r="K51" s="86"/>
      <c r="L51" s="86"/>
      <c r="M51" s="87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4"/>
      <c r="B52" s="89" t="s">
        <v>69</v>
      </c>
      <c r="C52" s="86"/>
      <c r="D52" s="87"/>
      <c r="E52" s="8"/>
      <c r="F52" s="8"/>
      <c r="G52" s="8"/>
      <c r="H52" s="8"/>
      <c r="I52" s="90" t="s">
        <v>70</v>
      </c>
      <c r="J52" s="86"/>
      <c r="K52" s="86"/>
      <c r="L52" s="86"/>
      <c r="M52" s="87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33.0" customHeight="1">
      <c r="A53" s="91"/>
      <c r="B53" s="92" t="s">
        <v>71</v>
      </c>
      <c r="C53" s="93" t="s">
        <v>72</v>
      </c>
      <c r="D53" s="94" t="s">
        <v>73</v>
      </c>
      <c r="E53" s="95"/>
      <c r="F53" s="38"/>
      <c r="G53" s="7"/>
      <c r="H53" s="81"/>
      <c r="I53" s="96" t="s">
        <v>74</v>
      </c>
      <c r="J53" s="86"/>
      <c r="K53" s="86"/>
      <c r="L53" s="87"/>
      <c r="M53" s="97" t="s">
        <v>72</v>
      </c>
      <c r="N53" s="7"/>
      <c r="O53" s="7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91"/>
      <c r="B54" s="98" t="s">
        <v>75</v>
      </c>
      <c r="C54" s="99">
        <f>N47+C49</f>
        <v>12020653.6</v>
      </c>
      <c r="D54" s="100"/>
      <c r="E54" s="7"/>
      <c r="F54" s="8"/>
      <c r="G54" s="7"/>
      <c r="H54" s="81"/>
      <c r="I54" s="101" t="s">
        <v>76</v>
      </c>
      <c r="J54" s="86"/>
      <c r="K54" s="86"/>
      <c r="L54" s="87"/>
      <c r="M54" s="102">
        <v>1000000.0</v>
      </c>
      <c r="N54" s="7"/>
      <c r="O54" s="7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91"/>
      <c r="B55" s="103" t="s">
        <v>77</v>
      </c>
      <c r="C55" s="104">
        <f>D55*C54</f>
        <v>4808261.441</v>
      </c>
      <c r="D55" s="105">
        <v>0.4</v>
      </c>
      <c r="E55" s="106" t="s">
        <v>78</v>
      </c>
      <c r="F55" s="107"/>
      <c r="G55" s="107"/>
      <c r="H55" s="81"/>
      <c r="I55" s="101" t="s">
        <v>79</v>
      </c>
      <c r="J55" s="86"/>
      <c r="K55" s="86"/>
      <c r="L55" s="87"/>
      <c r="M55" s="102">
        <v>191930.72</v>
      </c>
      <c r="N55" s="7"/>
      <c r="O55" s="7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91"/>
      <c r="B56" s="103" t="s">
        <v>80</v>
      </c>
      <c r="C56" s="104">
        <f t="shared" ref="C56:D56" si="11">C55</f>
        <v>4808261.441</v>
      </c>
      <c r="D56" s="105">
        <f t="shared" si="11"/>
        <v>0.4</v>
      </c>
      <c r="E56" s="106" t="s">
        <v>78</v>
      </c>
      <c r="F56" s="107"/>
      <c r="G56" s="107"/>
      <c r="H56" s="81"/>
      <c r="I56" s="108"/>
      <c r="J56" s="86"/>
      <c r="K56" s="86"/>
      <c r="L56" s="87"/>
      <c r="M56" s="109"/>
      <c r="N56" s="7"/>
      <c r="O56" s="7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91"/>
      <c r="B57" s="110" t="s">
        <v>81</v>
      </c>
      <c r="C57" s="111">
        <f>M47</f>
        <v>1212200</v>
      </c>
      <c r="D57" s="112">
        <f>C57/C54</f>
        <v>0.1008431022</v>
      </c>
      <c r="E57" s="113" t="s">
        <v>82</v>
      </c>
      <c r="F57" s="8"/>
      <c r="G57" s="7"/>
      <c r="H57" s="81"/>
      <c r="I57" s="108"/>
      <c r="J57" s="86"/>
      <c r="K57" s="86"/>
      <c r="L57" s="87"/>
      <c r="M57" s="109"/>
      <c r="N57" s="7"/>
      <c r="O57" s="7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91"/>
      <c r="B58" s="114" t="s">
        <v>83</v>
      </c>
      <c r="C58" s="115">
        <f>M59</f>
        <v>1191930.72</v>
      </c>
      <c r="D58" s="116">
        <f>C58/C54</f>
        <v>0.09915689775</v>
      </c>
      <c r="E58" s="117" t="s">
        <v>84</v>
      </c>
      <c r="F58" s="118"/>
      <c r="G58" s="117"/>
      <c r="H58" s="81"/>
      <c r="I58" s="108"/>
      <c r="J58" s="86"/>
      <c r="K58" s="86"/>
      <c r="L58" s="87"/>
      <c r="M58" s="109"/>
      <c r="N58" s="7"/>
      <c r="O58" s="7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91"/>
      <c r="B59" s="119" t="s">
        <v>85</v>
      </c>
      <c r="C59" s="120">
        <f>C54-C55-C56-C57-C58</f>
        <v>0.0003000001889</v>
      </c>
      <c r="D59" s="121"/>
      <c r="E59" s="117" t="s">
        <v>86</v>
      </c>
      <c r="F59" s="117"/>
      <c r="G59" s="117"/>
      <c r="H59" s="81"/>
      <c r="I59" s="122" t="s">
        <v>87</v>
      </c>
      <c r="J59" s="86"/>
      <c r="K59" s="86"/>
      <c r="L59" s="87"/>
      <c r="M59" s="115">
        <f>SUM(M54:M58)</f>
        <v>1191930.72</v>
      </c>
      <c r="N59" s="7"/>
      <c r="O59" s="7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91"/>
      <c r="B60" s="123" t="s">
        <v>88</v>
      </c>
      <c r="C60" s="124"/>
      <c r="D60" s="125"/>
      <c r="E60" s="8"/>
      <c r="F60" s="8"/>
      <c r="G60" s="7"/>
      <c r="H60" s="81"/>
      <c r="I60" s="7"/>
      <c r="J60" s="7"/>
      <c r="K60" s="7"/>
      <c r="L60" s="7"/>
      <c r="M60" s="7"/>
      <c r="N60" s="7"/>
      <c r="O60" s="7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8.75" customHeight="1">
      <c r="A61" s="84"/>
      <c r="B61" s="126"/>
      <c r="C61" s="127"/>
      <c r="D61" s="128"/>
      <c r="E61" s="14"/>
      <c r="F61" s="129"/>
      <c r="G61" s="130"/>
      <c r="H61" s="131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8"/>
      <c r="T61" s="8"/>
      <c r="U61" s="8"/>
      <c r="V61" s="8"/>
      <c r="W61" s="8"/>
      <c r="X61" s="8"/>
      <c r="Y61" s="8"/>
      <c r="Z61" s="8"/>
    </row>
    <row r="62" ht="18.75" customHeight="1">
      <c r="A62" s="132"/>
      <c r="B62" s="133"/>
      <c r="C62" s="134"/>
      <c r="D62" s="135"/>
      <c r="E62" s="135"/>
      <c r="F62" s="135"/>
      <c r="G62" s="136"/>
      <c r="H62" s="137"/>
      <c r="I62" s="135"/>
      <c r="J62" s="135"/>
      <c r="K62" s="135"/>
      <c r="L62" s="135"/>
      <c r="M62" s="135"/>
      <c r="N62" s="135"/>
      <c r="O62" s="135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8.75" customHeight="1">
      <c r="A63" s="14"/>
      <c r="B63" s="138"/>
      <c r="C63" s="139"/>
      <c r="D63" s="14"/>
      <c r="E63" s="14"/>
      <c r="F63" s="14"/>
      <c r="G63" s="14"/>
      <c r="H63" s="140"/>
      <c r="I63" s="14"/>
      <c r="J63" s="14"/>
      <c r="K63" s="14"/>
      <c r="L63" s="14"/>
      <c r="M63" s="14"/>
      <c r="N63" s="14"/>
      <c r="O63" s="14"/>
      <c r="P63" s="129"/>
      <c r="Q63" s="129"/>
      <c r="R63" s="8"/>
      <c r="S63" s="8"/>
      <c r="T63" s="8"/>
      <c r="U63" s="8"/>
      <c r="V63" s="8"/>
      <c r="W63" s="8"/>
      <c r="X63" s="8"/>
      <c r="Y63" s="8"/>
      <c r="Z63" s="8"/>
    </row>
    <row r="64" ht="18.75" customHeight="1">
      <c r="A64" s="91"/>
      <c r="B64" s="138"/>
      <c r="C64" s="139"/>
      <c r="D64" s="7"/>
      <c r="E64" s="7"/>
      <c r="F64" s="7"/>
      <c r="G64" s="7"/>
      <c r="H64" s="81"/>
      <c r="I64" s="7"/>
      <c r="J64" s="7"/>
      <c r="K64" s="7"/>
      <c r="L64" s="7"/>
      <c r="M64" s="7"/>
      <c r="N64" s="7"/>
      <c r="O64" s="7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8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141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 ht="15.75" customHeight="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 ht="15.75" customHeight="1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 ht="15.75" customHeight="1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  <row r="1004" ht="15.75" customHeight="1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</row>
    <row r="1005" ht="15.75" customHeight="1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</row>
    <row r="1006" ht="15.75" customHeight="1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</row>
    <row r="1007" ht="15.75" customHeight="1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</row>
    <row r="1008" ht="15.75" customHeight="1">
      <c r="A1008" s="8"/>
      <c r="B1008" s="8"/>
      <c r="C1008" s="8"/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</row>
    <row r="1009" ht="15.75" customHeight="1">
      <c r="A1009" s="8"/>
      <c r="B1009" s="8"/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</row>
    <row r="1010" ht="15.75" customHeight="1">
      <c r="A1010" s="8"/>
      <c r="B1010" s="8"/>
      <c r="C1010" s="8"/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</row>
    <row r="1011" ht="15.75" customHeight="1">
      <c r="A1011" s="8"/>
      <c r="B1011" s="8"/>
      <c r="C1011" s="8"/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</row>
    <row r="1012" ht="15.75" customHeight="1">
      <c r="A1012" s="8"/>
      <c r="B1012" s="8"/>
      <c r="C1012" s="8"/>
      <c r="D1012" s="8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</row>
    <row r="1013" ht="15.75" customHeight="1">
      <c r="A1013" s="8"/>
      <c r="B1013" s="8"/>
      <c r="C1013" s="8"/>
      <c r="D1013" s="8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</row>
    <row r="1014" ht="15.75" customHeight="1">
      <c r="A1014" s="8"/>
      <c r="B1014" s="8"/>
      <c r="C1014" s="8"/>
      <c r="D1014" s="8"/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</row>
    <row r="1015" ht="15.75" customHeight="1">
      <c r="A1015" s="8"/>
      <c r="B1015" s="8"/>
      <c r="C1015" s="8"/>
      <c r="D1015" s="8"/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</row>
    <row r="1016" ht="15.75" customHeight="1">
      <c r="A1016" s="8"/>
      <c r="B1016" s="8"/>
      <c r="C1016" s="8"/>
      <c r="D1016" s="8"/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</row>
    <row r="1017" ht="15.75" customHeight="1">
      <c r="A1017" s="8"/>
      <c r="B1017" s="8"/>
      <c r="C1017" s="8"/>
      <c r="D1017" s="8"/>
      <c r="E1017" s="8"/>
      <c r="F1017" s="8"/>
      <c r="G1017" s="8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</row>
    <row r="1018" ht="15.75" customHeight="1">
      <c r="A1018" s="8"/>
      <c r="B1018" s="8"/>
      <c r="C1018" s="8"/>
      <c r="D1018" s="8"/>
      <c r="E1018" s="8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</row>
    <row r="1019" ht="15.75" customHeight="1">
      <c r="A1019" s="8"/>
      <c r="B1019" s="8"/>
      <c r="C1019" s="8"/>
      <c r="D1019" s="8"/>
      <c r="E1019" s="8"/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</row>
    <row r="1020" ht="15.75" customHeight="1">
      <c r="A1020" s="8"/>
      <c r="B1020" s="8"/>
      <c r="C1020" s="8"/>
      <c r="D1020" s="8"/>
      <c r="E1020" s="8"/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</row>
    <row r="1021" ht="15.75" customHeight="1">
      <c r="A1021" s="8"/>
      <c r="B1021" s="8"/>
      <c r="C1021" s="8"/>
      <c r="D1021" s="8"/>
      <c r="E1021" s="8"/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</row>
    <row r="1022" ht="15.75" customHeight="1">
      <c r="A1022" s="8"/>
      <c r="B1022" s="8"/>
      <c r="C1022" s="8"/>
      <c r="D1022" s="8"/>
      <c r="E1022" s="8"/>
      <c r="F1022" s="8"/>
      <c r="G1022" s="8"/>
      <c r="H1022" s="8"/>
      <c r="I1022" s="8"/>
      <c r="J1022" s="8"/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</row>
    <row r="1023" ht="15.75" customHeight="1">
      <c r="A1023" s="8"/>
      <c r="B1023" s="8"/>
      <c r="C1023" s="8"/>
      <c r="D1023" s="8"/>
      <c r="E1023" s="8"/>
      <c r="F1023" s="8"/>
      <c r="G1023" s="8"/>
      <c r="H1023" s="8"/>
      <c r="I1023" s="8"/>
      <c r="J1023" s="8"/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</row>
    <row r="1024" ht="15.75" customHeight="1">
      <c r="A1024" s="8"/>
      <c r="B1024" s="8"/>
      <c r="C1024" s="8"/>
      <c r="D1024" s="8"/>
      <c r="E1024" s="8"/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</row>
    <row r="1025" ht="15.75" customHeight="1">
      <c r="A1025" s="8"/>
      <c r="B1025" s="8"/>
      <c r="C1025" s="8"/>
      <c r="D1025" s="8"/>
      <c r="E1025" s="8"/>
      <c r="F1025" s="8"/>
      <c r="G1025" s="8"/>
      <c r="H1025" s="8"/>
      <c r="I1025" s="8"/>
      <c r="J1025" s="8"/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</row>
    <row r="1026" ht="15.75" customHeight="1">
      <c r="A1026" s="8"/>
      <c r="B1026" s="8"/>
      <c r="C1026" s="8"/>
      <c r="D1026" s="8"/>
      <c r="E1026" s="8"/>
      <c r="F1026" s="8"/>
      <c r="G1026" s="8"/>
      <c r="H1026" s="8"/>
      <c r="I1026" s="8"/>
      <c r="J1026" s="8"/>
      <c r="K1026" s="8"/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</row>
  </sheetData>
  <mergeCells count="19">
    <mergeCell ref="C1:J1"/>
    <mergeCell ref="B2:K2"/>
    <mergeCell ref="B4:N4"/>
    <mergeCell ref="A5:B5"/>
    <mergeCell ref="C5:D5"/>
    <mergeCell ref="E5:K5"/>
    <mergeCell ref="L5:M5"/>
    <mergeCell ref="I56:L56"/>
    <mergeCell ref="I57:L57"/>
    <mergeCell ref="I58:L58"/>
    <mergeCell ref="I59:L59"/>
    <mergeCell ref="B60:D61"/>
    <mergeCell ref="B51:D51"/>
    <mergeCell ref="I51:M51"/>
    <mergeCell ref="B52:D52"/>
    <mergeCell ref="I52:M52"/>
    <mergeCell ref="I53:L53"/>
    <mergeCell ref="I54:L54"/>
    <mergeCell ref="I55:L55"/>
  </mergeCells>
  <printOptions/>
  <pageMargins bottom="0.75" footer="0.0" header="0.0" left="0.7" right="0.7" top="0.75"/>
  <pageSetup orientation="portrait"/>
  <drawing r:id="rId1"/>
</worksheet>
</file>